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3ec4d3c7d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e4b40897c634382"/>
    <x:sheet xmlns:r="http://schemas.openxmlformats.org/officeDocument/2006/relationships" name="Partner_Profile" sheetId="2" r:id="R3cf84efded184376"/>
    <x:sheet xmlns:r="http://schemas.openxmlformats.org/officeDocument/2006/relationships" name="Checklist" sheetId="3" r:id="Ra47b0c2b21b34baf"/>
    <x:sheet xmlns:r="http://schemas.openxmlformats.org/officeDocument/2006/relationships" name="Scoring_Dashboard" sheetId="4" r:id="Rb4f58b704024426a"/>
    <x:sheet xmlns:r="http://schemas.openxmlformats.org/officeDocument/2006/relationships" name="Partner_Typology" sheetId="5" r:id="R6cfa63217ab9486a"/>
    <x:sheet xmlns:r="http://schemas.openxmlformats.org/officeDocument/2006/relationships" name="Pilot_Journey" sheetId="6" r:id="R2ab86ff4c0da4f1f"/>
    <x:sheet xmlns:r="http://schemas.openxmlformats.org/officeDocument/2006/relationships" name="Evidence_Log" sheetId="7" r:id="Rcc3397f39a2f47bd"/>
    <x:sheet xmlns:r="http://schemas.openxmlformats.org/officeDocument/2006/relationships" name="Lists" sheetId="8" r:id="R414cd701fe67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3D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B2F"/>
      </x:patternFill>
    </x:fill>
    <x:fill>
      <x:patternFill patternType="solid">
        <x:fgColor rgb="FFDDEDC7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782dbaf5446c2" /><Relationship Type="http://schemas.openxmlformats.org/officeDocument/2006/relationships/theme" Target="/xl/theme/theme1.xml" Id="R369d35603c314891" /><Relationship Type="http://schemas.openxmlformats.org/officeDocument/2006/relationships/sharedStrings" Target="/xl/sharedStrings.xml" Id="R8139194d2e18440e" /><Relationship Type="http://schemas.openxmlformats.org/officeDocument/2006/relationships/worksheet" Target="/xl/worksheets/sheet1.xml" Id="Rde4b40897c634382" /><Relationship Type="http://schemas.openxmlformats.org/officeDocument/2006/relationships/worksheet" Target="/xl/worksheets/sheet2.xml" Id="R3cf84efded184376" /><Relationship Type="http://schemas.openxmlformats.org/officeDocument/2006/relationships/worksheet" Target="/xl/worksheets/sheet3.xml" Id="Ra47b0c2b21b34baf" /><Relationship Type="http://schemas.openxmlformats.org/officeDocument/2006/relationships/worksheet" Target="/xl/worksheets/sheet4.xml" Id="Rb4f58b704024426a" /><Relationship Type="http://schemas.openxmlformats.org/officeDocument/2006/relationships/worksheet" Target="/xl/worksheets/sheet5.xml" Id="R6cfa63217ab9486a" /><Relationship Type="http://schemas.openxmlformats.org/officeDocument/2006/relationships/worksheet" Target="/xl/worksheets/sheet6.xml" Id="R2ab86ff4c0da4f1f" /><Relationship Type="http://schemas.openxmlformats.org/officeDocument/2006/relationships/worksheet" Target="/xl/worksheets/sheet7.xml" Id="Rcc3397f39a2f47bd" /><Relationship Type="http://schemas.openxmlformats.org/officeDocument/2006/relationships/worksheet" Target="/xl/worksheets/sheet8.xml" Id="R414cd701fe6743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28d6e3a383496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Section %</c:v>
          </c:tx>
          <c:cat>
            <c:strRef>
              <c:f>'Scoring_Dashboard'!$A$12:$A$24</c:f>
              <c:strCache>
                <c:ptCount val="0"/>
              </c:strCache>
            </c:strRef>
          </c:cat>
          <c:val>
            <c:numRef>
              <c:f>'Scoring_Dashboard'!$E$12:$E$24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28d6e3a383496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ecklistTable" displayName="ChecklistTable" ref="A1:I108" headerRowCount="1">
  <x:tableColumns count="9">
    <x:tableColumn id="1" name="Section Code"/>
    <x:tableColumn id="2" name="Section"/>
    <x:tableColumn id="3" name="No."/>
    <x:tableColumn id="4" name="Assessment Question"/>
    <x:tableColumn id="5" name="Lens / 6M / POESI / Component"/>
    <x:tableColumn id="6" name="Score 0–4"/>
    <x:tableColumn id="7" name="Evidence / Notes"/>
    <x:tableColumn id="8" name="Next Action"/>
    <x:tableColumn id="9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SectionScoresTable" displayName="SectionScoresTable" ref="A11:F24" headerRowCount="1">
  <x:tableColumns count="6">
    <x:tableColumn id="1" name="Code"/>
    <x:tableColumn id="2" name="Section"/>
    <x:tableColumn id="3" name="Actual Score"/>
    <x:tableColumn id="4" name="Max Score"/>
    <x:tableColumn id="5" name="%"/>
    <x:tableColumn id="6" name="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TypologyTable" displayName="TypologyTable" ref="A3:H11" headerRowCount="1">
  <x:tableColumns count="8">
    <x:tableColumn id="1" name="Partner Type"/>
    <x:tableColumn id="2" name="Description"/>
    <x:tableColumn id="3" name="Best Role in Thesis Journey"/>
    <x:tableColumn id="4" name="Current Fit Score 0–4"/>
    <x:tableColumn id="5" name="Evidence"/>
    <x:tableColumn id="6" name="Likely POESI Layer"/>
    <x:tableColumn id="7" name="Recommended Engagement"/>
    <x:tableColumn id="8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PilotJourneyTable" displayName="PilotJourneyTable" ref="A3:H11" headerRowCount="1">
  <x:tableColumns count="8">
    <x:tableColumn id="1" name="Stage"/>
    <x:tableColumn id="2" name="Thesis Step"/>
    <x:tableColumn id="3" name="What to Capture / Do"/>
    <x:tableColumn id="4" name="Partner Role"/>
    <x:tableColumn id="5" name="Rainmatter / Ecosystem Support Needed"/>
    <x:tableColumn id="6" name="Outputs / Evidence"/>
    <x:tableColumn id="7" name="Owner"/>
    <x:tableColumn id="8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EvidenceLogTable" displayName="EvidenceLogTable" ref="A3:I53" headerRowCount="1">
  <x:tableColumns count="9">
    <x:tableColumn id="1" name="Date"/>
    <x:tableColumn id="2" name="Section Code"/>
    <x:tableColumn id="3" name="Evidence Type"/>
    <x:tableColumn id="4" name="Description"/>
    <x:tableColumn id="5" name="Source / Link / File Name"/>
    <x:tableColumn id="6" name="Person / Organisation"/>
    <x:tableColumn id="7" name="Confidence"/>
    <x:tableColumn id="8" name="Implication for Score"/>
    <x:tableColumn id="9" name="Follow-up Need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3b84e75185b44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ec54685313e4da8" /><Relationship Type="http://schemas.openxmlformats.org/officeDocument/2006/relationships/table" Target="/xl/tables/table2.xml" Id="R71eb7e9565024e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3e71b4bf9064b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17e7f87447a42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24eb62a5362468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58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28" customHeight="1">
      <x:c r="A1" s="40" t="str">
        <x:v>Livelihoods &amp; Entrepreneurship Thesis Alignment Assessment Tool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28" customHeight="1">
      <x:c r="A3" s="42" t="str">
        <x:v>Purpose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Use this workbook to assess how aligned a ground organisation is with the Livelihoods &amp; Entrepreneurship Thesis: place-rooted local production economies, community ownership, ecology alignment, POESI, 6M readiness, platformisation and shared enterprise infrastructure.</x:v>
      </x:c>
      <x:c r="B4" s="43"/>
      <x:c r="C4" s="43"/>
      <x:c r="D4" s="43"/>
      <x:c r="E4" s="43"/>
      <x:c r="F4" s="43"/>
      <x:c r="G4" s="43"/>
      <x:c r="H4" s="43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/>
      <x:c r="B5" s="43"/>
      <x:c r="C5" s="43"/>
      <x:c r="D5" s="43"/>
      <x:c r="E5" s="43"/>
      <x:c r="F5" s="43"/>
      <x:c r="G5" s="43"/>
      <x:c r="H5" s="43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1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2" t="str">
        <x:v>Score</x:v>
      </x:c>
      <x:c r="B7" s="42" t="str">
        <x:v>Meaning</x:v>
      </x:c>
      <x:c r="C7" s="42" t="str">
        <x:v>How to Use</x:v>
      </x:c>
      <x:c r="D7" s="41"/>
      <x:c r="E7" s="42" t="str">
        <x:v>12 Short Field Questions</x:v>
      </x:c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 t="n">
        <x:v>0</x:v>
      </x:c>
      <x:c r="B8" s="41" t="str">
        <x:v>Not present</x:v>
      </x:c>
      <x:c r="C8" s="41" t="str">
        <x:v>No visible evidence or the organisation does not work on this dimension.</x:v>
      </x:c>
      <x:c r="D8" s="41"/>
      <x:c r="E8" s="43" t="str">
        <x:v>Which places do you know deeply enough to design a local economy intervention?</x:v>
      </x:c>
      <x:c r="F8" s="43" t="str"/>
      <x:c r="G8" s="43" t="str"/>
      <x:c r="H8" s="43" t="str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 t="n">
        <x:v>1</x:v>
      </x:c>
      <x:c r="B9" s="41" t="str">
        <x:v>Early / informal / unclear</x:v>
      </x:c>
      <x:c r="C9" s="41" t="str">
        <x:v>Some signs exist but are informal, undocumented or dependent on individuals.</x:v>
      </x:c>
      <x:c r="D9" s="41"/>
      <x:c r="E9" s="43" t="str">
        <x:v>What do households and institutions currently buy from outside that could be locally produced or serviced?</x:v>
      </x:c>
      <x:c r="F9" s="43" t="str"/>
      <x:c r="G9" s="43" t="str"/>
      <x:c r="H9" s="43" t="str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 t="n">
        <x:v>2</x:v>
      </x:c>
      <x:c r="B10" s="41" t="str">
        <x:v>Present but limited</x:v>
      </x:c>
      <x:c r="C10" s="41" t="str">
        <x:v>The element exists but is partial, pilot-stage or limited to specific projects.</x:v>
      </x:c>
      <x:c r="D10" s="41"/>
      <x:c r="E10" s="43" t="str">
        <x:v>What natural assets, skills and production systems already exist in the place?</x:v>
      </x:c>
      <x:c r="F10" s="43" t="str"/>
      <x:c r="G10" s="43" t="str"/>
      <x:c r="H10" s="43" t="str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 t="n">
        <x:v>3</x:v>
      </x:c>
      <x:c r="B11" s="41" t="str">
        <x:v>Strong and intentional</x:v>
      </x:c>
      <x:c r="C11" s="41" t="str">
        <x:v>The element is deliberately designed and regularly used.</x:v>
      </x:c>
      <x:c r="D11" s="41"/>
      <x:c r="E11" s="43" t="str">
        <x:v>Which SHGs, FPOs, youth, artisans or entrepreneurs can own and operate enterprises?</x:v>
      </x:c>
      <x:c r="F11" s="43" t="str"/>
      <x:c r="G11" s="43" t="str"/>
      <x:c r="H11" s="43" t="str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 t="n">
        <x:v>4</x:v>
      </x:c>
      <x:c r="B12" s="41" t="str">
        <x:v>Deeply embedded and repeatable</x:v>
      </x:c>
      <x:c r="C12" s="41" t="str">
        <x:v>The element is institutionalised, documented and replicable across places.</x:v>
      </x:c>
      <x:c r="D12" s="41"/>
      <x:c r="E12" s="43" t="str">
        <x:v>Which local traders, repairers, trainers, mentors and service providers already exist?</x:v>
      </x:c>
      <x:c r="F12" s="43" t="str"/>
      <x:c r="G12" s="43" t="str"/>
      <x:c r="H12" s="43" t="str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3" t="str">
        <x:v>What livelihood opportunities are ecologically appropriate for this place?</x:v>
      </x:c>
      <x:c r="F13" s="43" t="str"/>
      <x:c r="G13" s="43" t="str"/>
      <x:c r="H13" s="43" t="str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2" t="str">
        <x:v>Overall %</x:v>
      </x:c>
      <x:c r="B14" s="42" t="str">
        <x:v>Interpretation</x:v>
      </x:c>
      <x:c r="C14" s="42" t="str">
        <x:v>Suggested Meaning</x:v>
      </x:c>
      <x:c r="D14" s="41"/>
      <x:c r="E14" s="43" t="str">
        <x:v>Which value chains can retain more value closer to origin?</x:v>
      </x:c>
      <x:c r="F14" s="43" t="str"/>
      <x:c r="G14" s="43" t="str"/>
      <x:c r="H14" s="43" t="str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 t="str">
        <x:v>0–30%</x:v>
      </x:c>
      <x:c r="B15" s="41" t="str">
        <x:v>Weak alignment</x:v>
      </x:c>
      <x:c r="C15" s="41" t="str">
        <x:v>Mostly project-mode or activity-led; needs foundational redesign.</x:v>
      </x:c>
      <x:c r="D15" s="41"/>
      <x:c r="E15" s="43" t="str">
        <x:v>What are the 6M gaps for each opportunity?</x:v>
      </x:c>
      <x:c r="F15" s="43" t="str"/>
      <x:c r="G15" s="43" t="str"/>
      <x:c r="H15" s="43" t="str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 t="str">
        <x:v>31–50%</x:v>
      </x:c>
      <x:c r="B16" s="41" t="str">
        <x:v>Emerging alignment</x:v>
      </x:c>
      <x:c r="C16" s="41" t="str">
        <x:v>Some place or enterprise thinking exists; suitable for exploratory engagement.</x:v>
      </x:c>
      <x:c r="D16" s="41"/>
      <x:c r="E16" s="43" t="str">
        <x:v>Can the model survive beyond grant funding?</x:v>
      </x:c>
      <x:c r="F16" s="43" t="str"/>
      <x:c r="G16" s="43" t="str"/>
      <x:c r="H16" s="43" t="str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 t="str">
        <x:v>51–70%</x:v>
      </x:c>
      <x:c r="B17" s="41" t="str">
        <x:v>Moderate alignment</x:v>
      </x:c>
      <x:c r="C17" s="41" t="str">
        <x:v>Good base for local economy work; suitable for structured pilot preparation.</x:v>
      </x:c>
      <x:c r="D17" s="41"/>
      <x:c r="E17" s="43" t="str">
        <x:v>What evidence exists that the community wants this and can operate it?</x:v>
      </x:c>
      <x:c r="F17" s="43" t="str"/>
      <x:c r="G17" s="43" t="str"/>
      <x:c r="H17" s="43" t="str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 t="str">
        <x:v>71–85%</x:v>
      </x:c>
      <x:c r="B18" s="41" t="str">
        <x:v>Strong alignment</x:v>
      </x:c>
      <x:c r="C18" s="41" t="str">
        <x:v>Ready for pilot or deeper collaboration.</x:v>
      </x:c>
      <x:c r="D18" s="41"/>
      <x:c r="E18" s="43" t="str">
        <x:v>What can your organisation contribute to the shared solution stack?</x:v>
      </x:c>
      <x:c r="F18" s="43" t="str"/>
      <x:c r="G18" s="43" t="str"/>
      <x:c r="H18" s="43" t="str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 t="str">
        <x:v>86–100%</x:v>
      </x:c>
      <x:c r="B19" s="41" t="str">
        <x:v>Very high alignment</x:v>
      </x:c>
      <x:c r="C19" s="41" t="str">
        <x:v>Potential anchor or ecosystem partner.</x:v>
      </x:c>
      <x:c r="D19" s="41"/>
      <x:c r="E19" s="43" t="str">
        <x:v>What would you need from Rainmatter / GRE / other partners to demonstrate and replicate?</x:v>
      </x:c>
      <x:c r="F19" s="43" t="str"/>
      <x:c r="G19" s="43" t="str"/>
      <x:c r="H19" s="43" t="str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2" t="str">
        <x:v>Suggested Workflow</x:v>
      </x:c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 t="str">
        <x:v>1</x:v>
      </x:c>
      <x:c r="B22" s="41" t="str">
        <x:v>Fill Partner_Profile.</x:v>
      </x:c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 t="str">
        <x:v>2</x:v>
      </x:c>
      <x:c r="B23" s="41" t="str">
        <x:v>Score every row in Checklist using 0–4. Add evidence and next actions.</x:v>
      </x:c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 t="str">
        <x:v>3</x:v>
      </x:c>
      <x:c r="B24" s="41" t="str">
        <x:v>Review Scoring_Dashboard for section-wise alignment, gaps and priority areas.</x:v>
      </x:c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 t="str">
        <x:v>4</x:v>
      </x:c>
      <x:c r="B25" s="41" t="str">
        <x:v>Use Partner_Typology to classify the organisation’s most useful ecosystem role.</x:v>
      </x:c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 t="str">
        <x:v>5</x:v>
      </x:c>
      <x:c r="B26" s="41" t="str">
        <x:v>Use Pilot_Journey to translate assessment into 2–3 local production pilots.</x:v>
      </x:c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 t="str">
        <x:v>6</x:v>
      </x:c>
      <x:c r="B27" s="41" t="str">
        <x:v>Use Evidence_Log to record field documents, interviews, photos, studies and links.</x:v>
      </x:c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2" t="str">
        <x:v>Source / Thesis Reference</x:v>
      </x:c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 t="str">
        <x:v>Based on the attached 'Livelihoods &amp; Entrepreneurship Thesis | Rainmatter Foundation' covering POESI, 6M, local production economy, nine platform components, enterprise creation pathway and portfolio success markers.</x:v>
      </x:c>
      <x:c r="B30" s="43"/>
      <x:c r="C30" s="43"/>
      <x:c r="D30" s="43"/>
      <x:c r="E30" s="43"/>
      <x:c r="F30" s="43"/>
      <x:c r="G30" s="43"/>
      <x:c r="H30" s="43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H1"/>
    <x:mergeCell ref="A3:H3"/>
    <x:mergeCell ref="A4:H5"/>
    <x:mergeCell ref="A21:H21"/>
    <x:mergeCell ref="A29:H29"/>
    <x:mergeCell ref="A30:H31"/>
    <x:mergeCell ref="E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0" hidden="0" customWidth="1"/>
    <x:col min="4" max="4" width="28" hidden="0" customWidth="1"/>
    <x:col min="5" max="5" width="32" hidden="0" customWidth="1"/>
    <x:col min="6" max="6" width="32" hidden="0" customWidth="1"/>
    <x:col min="7" max="7" width="20" hidden="0" customWidth="1"/>
    <x:col min="8" max="8" width="20" hidden="0" customWidth="1"/>
  </x:cols>
  <x:sheetData>
    <x:row r="1" ht="28" customHeight="1">
      <x:c r="A1" s="40" t="str">
        <x:v>Partner Alignment Dossier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28" customHeight="1">
      <x:c r="A3" s="48" t="str">
        <x:v>Organisation Name</x:v>
      </x:c>
      <x:c r="B3" s="43" t="str"/>
      <x:c r="C3" s="41"/>
      <x:c r="D3" s="42" t="str">
        <x:v>POESI Role Snapshot</x:v>
      </x:c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8" t="str">
        <x:v>Date of Assessment</x:v>
      </x:c>
      <x:c r="B4" s="49" t="n">
        <x:v>46201.52898185185</x:v>
      </x:c>
      <x:c r="C4" s="41"/>
      <x:c r="D4" s="48" t="str">
        <x:v>Place Depth</x:v>
      </x:c>
      <x:c r="E4" s="43" t="str"/>
      <x:c r="F4" s="43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8" t="str">
        <x:v>Assessed By</x:v>
      </x:c>
      <x:c r="B5" s="43" t="str"/>
      <x:c r="C5" s="41"/>
      <x:c r="D5" s="48" t="str">
        <x:v>Owner Depth</x:v>
      </x:c>
      <x:c r="E5" s="43" t="str"/>
      <x:c r="F5" s="43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8" t="str">
        <x:v>Primary Geography</x:v>
      </x:c>
      <x:c r="B6" s="43" t="str"/>
      <x:c r="C6" s="41"/>
      <x:c r="D6" s="48" t="str">
        <x:v>Enabler Network</x:v>
      </x:c>
      <x:c r="E6" s="43" t="str"/>
      <x:c r="F6" s="43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8" t="str">
        <x:v>States / Districts / Blocks</x:v>
      </x:c>
      <x:c r="B7" s="43" t="str"/>
      <x:c r="C7" s="41"/>
      <x:c r="D7" s="48" t="str">
        <x:v>Solution Stack Contribution</x:v>
      </x:c>
      <x:c r="E7" s="43" t="str"/>
      <x:c r="F7" s="43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8" t="str">
        <x:v>Domain of Work</x:v>
      </x:c>
      <x:c r="B8" s="43" t="str"/>
      <x:c r="C8" s="41"/>
      <x:c r="D8" s="48" t="str">
        <x:v>Infrastructure Contribution</x:v>
      </x:c>
      <x:c r="E8" s="43" t="str"/>
      <x:c r="F8" s="43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8" t="str">
        <x:v>Years of Work</x:v>
      </x:c>
      <x:c r="B9" s="43" t="str"/>
      <x:c r="C9" s="41"/>
      <x:c r="D9" s="48" t="str">
        <x:v>Potential Pilot Places</x:v>
      </x:c>
      <x:c r="E9" s="43" t="str"/>
      <x:c r="F9" s="43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8" t="str">
        <x:v>Communities Served</x:v>
      </x:c>
      <x:c r="B10" s="43" t="str">
        <x:v>SHGs / FPOs / Youth / Farmers / Artisans / Panchayats / Others</x:v>
      </x:c>
      <x:c r="C10" s="41"/>
      <x:c r="D10" s="48" t="str">
        <x:v>Potential Priority Value Chains</x:v>
      </x:c>
      <x:c r="E10" s="43" t="str"/>
      <x:c r="F10" s="43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8" t="str">
        <x:v>Current Livelihood Programmes</x:v>
      </x:c>
      <x:c r="B11" s="43" t="str"/>
      <x:c r="C11" s="41"/>
      <x:c r="D11" s="48" t="str">
        <x:v>Immediate Support Needed</x:v>
      </x:c>
      <x:c r="E11" s="43" t="str"/>
      <x:c r="F11" s="43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8" t="str">
        <x:v>Primary Contact Person</x:v>
      </x:c>
      <x:c r="B12" s="43" t="str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8" t="str">
        <x:v>Email / Phone</x:v>
      </x:c>
      <x:c r="B13" s="43" t="str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8" t="str">
        <x:v>Website / Social Links</x:v>
      </x:c>
      <x:c r="B14" s="43" t="str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F1"/>
    <x:mergeCell ref="D3:F3"/>
    <x:mergeCell ref="E4:F4"/>
    <x:mergeCell ref="E5:F5"/>
    <x:mergeCell ref="E6:F6"/>
    <x:mergeCell ref="E7:F7"/>
    <x:mergeCell ref="E8:F8"/>
    <x:mergeCell ref="E9:F9"/>
    <x:mergeCell ref="E10:F10"/>
    <x:mergeCell ref="E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7" hidden="0" customWidth="1"/>
    <x:col min="4" max="4" width="58" hidden="0" customWidth="1"/>
    <x:col min="5" max="5" width="26" hidden="0" customWidth="1"/>
    <x:col min="6" max="6" width="10" hidden="0" customWidth="1"/>
    <x:col min="7" max="7" width="32" hidden="0" customWidth="1"/>
    <x:col min="8" max="8" width="28" hidden="0" customWidth="1"/>
    <x:col min="9" max="9" width="15" hidden="0" customWidth="1"/>
  </x:cols>
  <x:sheetData>
    <x:row r="1">
      <x:c r="A1" s="42" t="str">
        <x:v>Section Code</x:v>
      </x:c>
      <x:c r="B1" s="42" t="str">
        <x:v>Section</x:v>
      </x:c>
      <x:c r="C1" s="42" t="str">
        <x:v>No.</x:v>
      </x:c>
      <x:c r="D1" s="42" t="str">
        <x:v>Assessment Question</x:v>
      </x:c>
      <x:c r="E1" s="42" t="str">
        <x:v>Lens / 6M / POESI / Component</x:v>
      </x:c>
      <x:c r="F1" s="42" t="str">
        <x:v>Score 0–4</x:v>
      </x:c>
      <x:c r="G1" s="42" t="str">
        <x:v>Evidence / Notes</x:v>
      </x:c>
      <x:c r="H1" s="42" t="str">
        <x:v>Next Action</x:v>
      </x:c>
      <x:c r="I1" s="42" t="str">
        <x:v>Priority</x:v>
      </x:c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3" t="str">
        <x:v>A</x:v>
      </x:c>
      <x:c r="B2" s="43" t="str">
        <x:v>Place Ownership &amp; Local Economy Orientation</x:v>
      </x:c>
      <x:c r="C2" s="43" t="n">
        <x:v>1</x:v>
      </x:c>
      <x:c r="D2" s="43" t="str">
        <x:v>Has the organisation clearly defined its geography of work: village, cluster, watershed, block, landscape or constituency?</x:v>
      </x:c>
      <x:c r="E2" s="43" t="str">
        <x:v>Place</x:v>
      </x:c>
      <x:c r="F2" s="43" t="str"/>
      <x:c r="G2" s="43" t="str"/>
      <x:c r="H2" s="43" t="str"/>
      <x:c r="I2" s="43" t="str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3" t="str">
        <x:v>A</x:v>
      </x:c>
      <x:c r="B3" s="43" t="str">
        <x:v>Place Ownership &amp; Local Economy Orientation</x:v>
      </x:c>
      <x:c r="C3" s="43" t="n">
        <x:v>2</x:v>
      </x:c>
      <x:c r="D3" s="43" t="str">
        <x:v>Does it understand local household and institutional consumption needs — food, inputs, services, repair, energy, materials, etc.?</x:v>
      </x:c>
      <x:c r="E3" s="43" t="str">
        <x:v>Basket of Needs</x:v>
      </x:c>
      <x:c r="F3" s="43" t="str"/>
      <x:c r="G3" s="43" t="str"/>
      <x:c r="H3" s="43" t="str"/>
      <x:c r="I3" s="43" t="str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A</x:v>
      </x:c>
      <x:c r="B4" s="43" t="str">
        <x:v>Place Ownership &amp; Local Economy Orientation</x:v>
      </x:c>
      <x:c r="C4" s="43" t="n">
        <x:v>3</x:v>
      </x:c>
      <x:c r="D4" s="43" t="str">
        <x:v>Has it mapped what is currently imported into the local economy that could potentially be produced or serviced locally?</x:v>
      </x:c>
      <x:c r="E4" s="43" t="str">
        <x:v>Import Substitution</x:v>
      </x:c>
      <x:c r="F4" s="43" t="str"/>
      <x:c r="G4" s="43" t="str"/>
      <x:c r="H4" s="43" t="str"/>
      <x:c r="I4" s="43" t="str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A</x:v>
      </x:c>
      <x:c r="B5" s="43" t="str">
        <x:v>Place Ownership &amp; Local Economy Orientation</x:v>
      </x:c>
      <x:c r="C5" s="43" t="n">
        <x:v>4</x:v>
      </x:c>
      <x:c r="D5" s="43" t="str">
        <x:v>Has it mapped existing local production systems: crops, livestock, forest produce, crafts, skills, services, repair systems?</x:v>
      </x:c>
      <x:c r="E5" s="43" t="str">
        <x:v>Production Systems</x:v>
      </x:c>
      <x:c r="F5" s="43" t="str"/>
      <x:c r="G5" s="43" t="str"/>
      <x:c r="H5" s="43" t="str"/>
      <x:c r="I5" s="43" t="str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A</x:v>
      </x:c>
      <x:c r="B6" s="43" t="str">
        <x:v>Place Ownership &amp; Local Economy Orientation</x:v>
      </x:c>
      <x:c r="C6" s="43" t="n">
        <x:v>5</x:v>
      </x:c>
      <x:c r="D6" s="43" t="str">
        <x:v>Does it understand existing local market flows: traders, haats, aggregators, buyers, processors, local shops?</x:v>
      </x:c>
      <x:c r="E6" s="43" t="str">
        <x:v>Market Flows</x:v>
      </x:c>
      <x:c r="F6" s="43" t="str"/>
      <x:c r="G6" s="43" t="str"/>
      <x:c r="H6" s="43" t="str"/>
      <x:c r="I6" s="43" t="str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>
        <x:v>A</x:v>
      </x:c>
      <x:c r="B7" s="43" t="str">
        <x:v>Place Ownership &amp; Local Economy Orientation</x:v>
      </x:c>
      <x:c r="C7" s="43" t="n">
        <x:v>6</x:v>
      </x:c>
      <x:c r="D7" s="43" t="str">
        <x:v>Does it identify local risks: migration, ecological stress, market volatility, climate risk, resource depletion?</x:v>
      </x:c>
      <x:c r="E7" s="43" t="str">
        <x:v>Risks</x:v>
      </x:c>
      <x:c r="F7" s="43" t="str"/>
      <x:c r="G7" s="43" t="str"/>
      <x:c r="H7" s="43" t="str"/>
      <x:c r="I7" s="43" t="str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>
        <x:v>A</x:v>
      </x:c>
      <x:c r="B8" s="43" t="str">
        <x:v>Place Ownership &amp; Local Economy Orientation</x:v>
      </x:c>
      <x:c r="C8" s="43" t="n">
        <x:v>7</x:v>
      </x:c>
      <x:c r="D8" s="43" t="str">
        <x:v>Does it see livelihoods as part of a local economy, not just as beneficiary income enhancement?</x:v>
      </x:c>
      <x:c r="E8" s="43" t="str">
        <x:v>Local Economy</x:v>
      </x:c>
      <x:c r="F8" s="43" t="str"/>
      <x:c r="G8" s="43" t="str"/>
      <x:c r="H8" s="43" t="str"/>
      <x:c r="I8" s="43" t="str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>
        <x:v>A</x:v>
      </x:c>
      <x:c r="B9" s="43" t="str">
        <x:v>Place Ownership &amp; Local Economy Orientation</x:v>
      </x:c>
      <x:c r="C9" s="43" t="n">
        <x:v>8</x:v>
      </x:c>
      <x:c r="D9" s="43" t="str">
        <x:v>Does it have a clear view of who locally owns, operates and governs livelihood activities?</x:v>
      </x:c>
      <x:c r="E9" s="43" t="str">
        <x:v>Ownership</x:v>
      </x:c>
      <x:c r="F9" s="43" t="str"/>
      <x:c r="G9" s="43" t="str"/>
      <x:c r="H9" s="43" t="str"/>
      <x:c r="I9" s="43" t="str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>
        <x:v>B</x:v>
      </x:c>
      <x:c r="B10" s="43" t="str">
        <x:v>Ecology Alignment</x:v>
      </x:c>
      <x:c r="C10" s="43" t="n">
        <x:v>1</x:v>
      </x:c>
      <x:c r="D10" s="43" t="str">
        <x:v>Does the organisation map local natural assets: soil, water, biomass, forests, crops, livestock, biodiversity?</x:v>
      </x:c>
      <x:c r="E10" s="43" t="str">
        <x:v>Natural Assets</x:v>
      </x:c>
      <x:c r="F10" s="43" t="str"/>
      <x:c r="G10" s="43" t="str"/>
      <x:c r="H10" s="43" t="str"/>
      <x:c r="I10" s="43" t="str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>
        <x:v>B</x:v>
      </x:c>
      <x:c r="B11" s="43" t="str">
        <x:v>Ecology Alignment</x:v>
      </x:c>
      <x:c r="C11" s="43" t="n">
        <x:v>2</x:v>
      </x:c>
      <x:c r="D11" s="43" t="str">
        <x:v>Does it assess whether proposed enterprises can be run without degrading local ecology?</x:v>
      </x:c>
      <x:c r="E11" s="43" t="str">
        <x:v>Ecology Check</x:v>
      </x:c>
      <x:c r="F11" s="43" t="str"/>
      <x:c r="G11" s="43" t="str"/>
      <x:c r="H11" s="43" t="str"/>
      <x:c r="I11" s="43" t="str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>
        <x:v>B</x:v>
      </x:c>
      <x:c r="B12" s="43" t="str">
        <x:v>Ecology Alignment</x:v>
      </x:c>
      <x:c r="C12" s="43" t="n">
        <x:v>3</x:v>
      </x:c>
      <x:c r="D12" s="43" t="str">
        <x:v>Are agroecology and natural resource management connected to livelihood planning?</x:v>
      </x:c>
      <x:c r="E12" s="43" t="str">
        <x:v>Agroecology / NRM</x:v>
      </x:c>
      <x:c r="F12" s="43" t="str"/>
      <x:c r="G12" s="43" t="str"/>
      <x:c r="H12" s="43" t="str"/>
      <x:c r="I12" s="43" t="str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>
        <x:v>B</x:v>
      </x:c>
      <x:c r="B13" s="43" t="str">
        <x:v>Ecology Alignment</x:v>
      </x:c>
      <x:c r="C13" s="43" t="n">
        <x:v>4</x:v>
      </x:c>
      <x:c r="D13" s="43" t="str">
        <x:v>Does it avoid enterprises that increase extraction, pollution, waste or monoculture risk?</x:v>
      </x:c>
      <x:c r="E13" s="43" t="str">
        <x:v>Risk Avoidance</x:v>
      </x:c>
      <x:c r="F13" s="43" t="str"/>
      <x:c r="G13" s="43" t="str"/>
      <x:c r="H13" s="43" t="str"/>
      <x:c r="I13" s="43" t="str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>
        <x:v>B</x:v>
      </x:c>
      <x:c r="B14" s="43" t="str">
        <x:v>Ecology Alignment</x:v>
      </x:c>
      <x:c r="C14" s="43" t="n">
        <x:v>5</x:v>
      </x:c>
      <x:c r="D14" s="43" t="str">
        <x:v>Does it prioritise circular use of local materials, by-products and waste streams?</x:v>
      </x:c>
      <x:c r="E14" s="43" t="str">
        <x:v>Circularity</x:v>
      </x:c>
      <x:c r="F14" s="43" t="str"/>
      <x:c r="G14" s="43" t="str"/>
      <x:c r="H14" s="43" t="str"/>
      <x:c r="I14" s="43" t="str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>
        <x:v>B</x:v>
      </x:c>
      <x:c r="B15" s="43" t="str">
        <x:v>Ecology Alignment</x:v>
      </x:c>
      <x:c r="C15" s="43" t="n">
        <x:v>6</x:v>
      </x:c>
      <x:c r="D15" s="43" t="str">
        <x:v>Does it track climate vulnerability and adaptation relevance of proposed livelihoods?</x:v>
      </x:c>
      <x:c r="E15" s="43" t="str">
        <x:v>Climate Adaptation</x:v>
      </x:c>
      <x:c r="F15" s="43" t="str"/>
      <x:c r="G15" s="43" t="str"/>
      <x:c r="H15" s="43" t="str"/>
      <x:c r="I15" s="43" t="str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>
        <x:v>B</x:v>
      </x:c>
      <x:c r="B16" s="43" t="str">
        <x:v>Ecology Alignment</x:v>
      </x:c>
      <x:c r="C16" s="43" t="n">
        <x:v>7</x:v>
      </x:c>
      <x:c r="D16" s="43" t="str">
        <x:v>Are community members involved in deciding what is ecologically appropriate?</x:v>
      </x:c>
      <x:c r="E16" s="43" t="str">
        <x:v>Community Ecology Governance</x:v>
      </x:c>
      <x:c r="F16" s="43" t="str"/>
      <x:c r="G16" s="43" t="str"/>
      <x:c r="H16" s="43" t="str"/>
      <x:c r="I16" s="43" t="str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>
        <x:v>B</x:v>
      </x:c>
      <x:c r="B17" s="43" t="str">
        <x:v>Ecology Alignment</x:v>
      </x:c>
      <x:c r="C17" s="43" t="n">
        <x:v>8</x:v>
      </x:c>
      <x:c r="D17" s="43" t="str">
        <x:v>Does it view ecology as a foundation for livelihoods rather than an external safeguard?</x:v>
      </x:c>
      <x:c r="E17" s="43" t="str">
        <x:v>Foundation</x:v>
      </x:c>
      <x:c r="F17" s="43" t="str"/>
      <x:c r="G17" s="43" t="str"/>
      <x:c r="H17" s="43" t="str"/>
      <x:c r="I17" s="43" t="str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>
        <x:v>C</x:v>
      </x:c>
      <x:c r="B18" s="43" t="str">
        <x:v>Community Ownership &amp; Governance</x:v>
      </x:c>
      <x:c r="C18" s="43" t="n">
        <x:v>1</x:v>
      </x:c>
      <x:c r="D18" s="43" t="str">
        <x:v>Are SHGs, FPOs, youth groups, artisans or local entrepreneurs central to enterprise design?</x:v>
      </x:c>
      <x:c r="E18" s="43" t="str">
        <x:v>Owners</x:v>
      </x:c>
      <x:c r="F18" s="43" t="str"/>
      <x:c r="G18" s="43" t="str"/>
      <x:c r="H18" s="43" t="str"/>
      <x:c r="I18" s="43" t="str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>
        <x:v>C</x:v>
      </x:c>
      <x:c r="B19" s="43" t="str">
        <x:v>Community Ownership &amp; Governance</x:v>
      </x:c>
      <x:c r="C19" s="43" t="n">
        <x:v>2</x:v>
      </x:c>
      <x:c r="D19" s="43" t="str">
        <x:v>Are panchayats or local governance institutions engaged meaningfully?</x:v>
      </x:c>
      <x:c r="E19" s="43" t="str">
        <x:v>Local Governance</x:v>
      </x:c>
      <x:c r="F19" s="43" t="str"/>
      <x:c r="G19" s="43" t="str"/>
      <x:c r="H19" s="43" t="str"/>
      <x:c r="I19" s="43" t="str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 t="str">
        <x:v>C</x:v>
      </x:c>
      <x:c r="B20" s="43" t="str">
        <x:v>Community Ownership &amp; Governance</x:v>
      </x:c>
      <x:c r="C20" s="43" t="n">
        <x:v>3</x:v>
      </x:c>
      <x:c r="D20" s="43" t="str">
        <x:v>Are local community stewards identified and supported?</x:v>
      </x:c>
      <x:c r="E20" s="43" t="str">
        <x:v>Community Stewards</x:v>
      </x:c>
      <x:c r="F20" s="43" t="str"/>
      <x:c r="G20" s="43" t="str"/>
      <x:c r="H20" s="43" t="str"/>
      <x:c r="I20" s="43" t="str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 t="str">
        <x:v>C</x:v>
      </x:c>
      <x:c r="B21" s="43" t="str">
        <x:v>Community Ownership &amp; Governance</x:v>
      </x:c>
      <x:c r="C21" s="43" t="n">
        <x:v>4</x:v>
      </x:c>
      <x:c r="D21" s="43" t="str">
        <x:v>Does the organisation build local decision-making capacity rather than only delivering external solutions?</x:v>
      </x:c>
      <x:c r="E21" s="43" t="str">
        <x:v>Decision Capacity</x:v>
      </x:c>
      <x:c r="F21" s="43" t="str"/>
      <x:c r="G21" s="43" t="str"/>
      <x:c r="H21" s="43" t="str"/>
      <x:c r="I21" s="43" t="str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 t="str">
        <x:v>C</x:v>
      </x:c>
      <x:c r="B22" s="43" t="str">
        <x:v>Community Ownership &amp; Governance</x:v>
      </x:c>
      <x:c r="C22" s="43" t="n">
        <x:v>5</x:v>
      </x:c>
      <x:c r="D22" s="43" t="str">
        <x:v>Are women’s collectives involved as owners or operators, not only trainees or workers?</x:v>
      </x:c>
      <x:c r="E22" s="43" t="str">
        <x:v>Women Ownership</x:v>
      </x:c>
      <x:c r="F22" s="43" t="str"/>
      <x:c r="G22" s="43" t="str"/>
      <x:c r="H22" s="43" t="str"/>
      <x:c r="I22" s="43" t="str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 t="str">
        <x:v>C</x:v>
      </x:c>
      <x:c r="B23" s="43" t="str">
        <x:v>Community Ownership &amp; Governance</x:v>
      </x:c>
      <x:c r="C23" s="43" t="n">
        <x:v>6</x:v>
      </x:c>
      <x:c r="D23" s="43" t="str">
        <x:v>Are youth positioned as entrepreneurs, service providers, technicians or digital enablers?</x:v>
      </x:c>
      <x:c r="E23" s="43" t="str">
        <x:v>Youth Role</x:v>
      </x:c>
      <x:c r="F23" s="43" t="str"/>
      <x:c r="G23" s="43" t="str"/>
      <x:c r="H23" s="43" t="str"/>
      <x:c r="I23" s="43" t="str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 t="str">
        <x:v>C</x:v>
      </x:c>
      <x:c r="B24" s="43" t="str">
        <x:v>Community Ownership &amp; Governance</x:v>
      </x:c>
      <x:c r="C24" s="43" t="n">
        <x:v>7</x:v>
      </x:c>
      <x:c r="D24" s="43" t="str">
        <x:v>Is there a governance model for revenue, asset ownership, risk-sharing and maintenance?</x:v>
      </x:c>
      <x:c r="E24" s="43" t="str">
        <x:v>Governance</x:v>
      </x:c>
      <x:c r="F24" s="43" t="str"/>
      <x:c r="G24" s="43" t="str"/>
      <x:c r="H24" s="43" t="str"/>
      <x:c r="I24" s="43" t="str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3" t="str">
        <x:v>C</x:v>
      </x:c>
      <x:c r="B25" s="43" t="str">
        <x:v>Community Ownership &amp; Governance</x:v>
      </x:c>
      <x:c r="C25" s="43" t="n">
        <x:v>8</x:v>
      </x:c>
      <x:c r="D25" s="43" t="str">
        <x:v>Can the local group adapt the enterprise model after the project period ends?</x:v>
      </x:c>
      <x:c r="E25" s="43" t="str">
        <x:v>Adaptation</x:v>
      </x:c>
      <x:c r="F25" s="43" t="str"/>
      <x:c r="G25" s="43" t="str"/>
      <x:c r="H25" s="43" t="str"/>
      <x:c r="I25" s="43" t="str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3" t="str">
        <x:v>D</x:v>
      </x:c>
      <x:c r="B26" s="43" t="str">
        <x:v>Enterprise Creation Pathway</x:v>
      </x:c>
      <x:c r="C26" s="43" t="n">
        <x:v>1</x:v>
      </x:c>
      <x:c r="D26" s="43" t="str">
        <x:v>Does the organisation begin with local demand and needs sensing before selecting livelihood options?</x:v>
      </x:c>
      <x:c r="E26" s="43" t="str">
        <x:v>Sense Needs</x:v>
      </x:c>
      <x:c r="F26" s="43" t="str"/>
      <x:c r="G26" s="43" t="str"/>
      <x:c r="H26" s="43" t="str"/>
      <x:c r="I26" s="43" t="str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3" t="str">
        <x:v>D</x:v>
      </x:c>
      <x:c r="B27" s="43" t="str">
        <x:v>Enterprise Creation Pathway</x:v>
      </x:c>
      <x:c r="C27" s="43" t="n">
        <x:v>2</x:v>
      </x:c>
      <x:c r="D27" s="43" t="str">
        <x:v>Does it compare multiple enterprise opportunities before choosing one?</x:v>
      </x:c>
      <x:c r="E27" s="43" t="str">
        <x:v>Select Opportunity</x:v>
      </x:c>
      <x:c r="F27" s="43" t="str"/>
      <x:c r="G27" s="43" t="str"/>
      <x:c r="H27" s="43" t="str"/>
      <x:c r="I27" s="43" t="str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3" t="str">
        <x:v>D</x:v>
      </x:c>
      <x:c r="B28" s="43" t="str">
        <x:v>Enterprise Creation Pathway</x:v>
      </x:c>
      <x:c r="C28" s="43" t="n">
        <x:v>3</x:v>
      </x:c>
      <x:c r="D28" s="43" t="str">
        <x:v>Are opportunities chosen based on local assets, skills, demand, ecology and market viability?</x:v>
      </x:c>
      <x:c r="E28" s="43" t="str">
        <x:v>Selection Criteria</x:v>
      </x:c>
      <x:c r="F28" s="43" t="str"/>
      <x:c r="G28" s="43" t="str"/>
      <x:c r="H28" s="43" t="str"/>
      <x:c r="I28" s="43" t="str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3" t="str">
        <x:v>D</x:v>
      </x:c>
      <x:c r="B29" s="43" t="str">
        <x:v>Enterprise Creation Pathway</x:v>
      </x:c>
      <x:c r="C29" s="43" t="n">
        <x:v>4</x:v>
      </x:c>
      <x:c r="D29" s="43" t="str">
        <x:v>Does it prepare a basic enterprise model before implementation?</x:v>
      </x:c>
      <x:c r="E29" s="43" t="str">
        <x:v>Design Model</x:v>
      </x:c>
      <x:c r="F29" s="43" t="str"/>
      <x:c r="G29" s="43" t="str"/>
      <x:c r="H29" s="43" t="str"/>
      <x:c r="I29" s="43" t="str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 t="str">
        <x:v>D</x:v>
      </x:c>
      <x:c r="B30" s="43" t="str">
        <x:v>Enterprise Creation Pathway</x:v>
      </x:c>
      <x:c r="C30" s="43" t="n">
        <x:v>5</x:v>
      </x:c>
      <x:c r="D30" s="43" t="str">
        <x:v>Does the enterprise model include unit economics, working capital, risk and governance?</x:v>
      </x:c>
      <x:c r="E30" s="43" t="str">
        <x:v>Enterprise Model</x:v>
      </x:c>
      <x:c r="F30" s="43" t="str"/>
      <x:c r="G30" s="43" t="str"/>
      <x:c r="H30" s="43" t="str"/>
      <x:c r="I30" s="43" t="str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 t="str">
        <x:v>D</x:v>
      </x:c>
      <x:c r="B31" s="43" t="str">
        <x:v>Enterprise Creation Pathway</x:v>
      </x:c>
      <x:c r="C31" s="43" t="n">
        <x:v>6</x:v>
      </x:c>
      <x:c r="D31" s="43" t="str">
        <x:v>Are pilots or demonstrations conducted before scaling?</x:v>
      </x:c>
      <x:c r="E31" s="43" t="str">
        <x:v>Demonstrate</x:v>
      </x:c>
      <x:c r="F31" s="43" t="str"/>
      <x:c r="G31" s="43" t="str"/>
      <x:c r="H31" s="43" t="str"/>
      <x:c r="I31" s="43" t="str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 t="str">
        <x:v>D</x:v>
      </x:c>
      <x:c r="B32" s="43" t="str">
        <x:v>Enterprise Creation Pathway</x:v>
      </x:c>
      <x:c r="C32" s="43" t="n">
        <x:v>7</x:v>
      </x:c>
      <x:c r="D32" s="43" t="str">
        <x:v>Does the organisation document what works and what fails?</x:v>
      </x:c>
      <x:c r="E32" s="43" t="str">
        <x:v>Learning</x:v>
      </x:c>
      <x:c r="F32" s="43" t="str"/>
      <x:c r="G32" s="43" t="str"/>
      <x:c r="H32" s="43" t="str"/>
      <x:c r="I32" s="43" t="str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 t="str">
        <x:v>D</x:v>
      </x:c>
      <x:c r="B33" s="43" t="str">
        <x:v>Enterprise Creation Pathway</x:v>
      </x:c>
      <x:c r="C33" s="43" t="n">
        <x:v>8</x:v>
      </x:c>
      <x:c r="D33" s="43" t="str">
        <x:v>Are successful models converted into playbooks, SOPs, training modules or replication guides?</x:v>
      </x:c>
      <x:c r="E33" s="43" t="str">
        <x:v>Replicate</x:v>
      </x:c>
      <x:c r="F33" s="43" t="str"/>
      <x:c r="G33" s="43" t="str"/>
      <x:c r="H33" s="43" t="str"/>
      <x:c r="I33" s="43" t="str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3" t="str">
        <x:v>E</x:v>
      </x:c>
      <x:c r="B34" s="43" t="str">
        <x:v>6M Enterprise Readiness</x:v>
      </x:c>
      <x:c r="C34" s="43" t="n">
        <x:v>1</x:v>
      </x:c>
      <x:c r="D34" s="43" t="str">
        <x:v>Are local operators, trainers, technicians or entrepreneurs identified?</x:v>
      </x:c>
      <x:c r="E34" s="43" t="str">
        <x:v>Manpower</x:v>
      </x:c>
      <x:c r="F34" s="43" t="str"/>
      <x:c r="G34" s="43" t="str"/>
      <x:c r="H34" s="43" t="str"/>
      <x:c r="I34" s="43" t="str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3" t="str">
        <x:v>E</x:v>
      </x:c>
      <x:c r="B35" s="43" t="str">
        <x:v>6M Enterprise Readiness</x:v>
      </x:c>
      <x:c r="C35" s="43" t="n">
        <x:v>2</x:v>
      </x:c>
      <x:c r="D35" s="43" t="str">
        <x:v>Is there a plan for skilling, handholding and peer learning?</x:v>
      </x:c>
      <x:c r="E35" s="43" t="str">
        <x:v>Manpower</x:v>
      </x:c>
      <x:c r="F35" s="43" t="str"/>
      <x:c r="G35" s="43" t="str"/>
      <x:c r="H35" s="43" t="str"/>
      <x:c r="I35" s="43" t="str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3" t="str">
        <x:v>E</x:v>
      </x:c>
      <x:c r="B36" s="43" t="str">
        <x:v>6M Enterprise Readiness</x:v>
      </x:c>
      <x:c r="C36" s="43" t="n">
        <x:v>3</x:v>
      </x:c>
      <x:c r="D36" s="43" t="str">
        <x:v>Are required tools, machines or infrastructure clearly identified?</x:v>
      </x:c>
      <x:c r="E36" s="43" t="str">
        <x:v>Machine</x:v>
      </x:c>
      <x:c r="F36" s="43" t="str"/>
      <x:c r="G36" s="43" t="str"/>
      <x:c r="H36" s="43" t="str"/>
      <x:c r="I36" s="43" t="str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3" t="str">
        <x:v>E</x:v>
      </x:c>
      <x:c r="B37" s="43" t="str">
        <x:v>6M Enterprise Readiness</x:v>
      </x:c>
      <x:c r="C37" s="43" t="n">
        <x:v>4</x:v>
      </x:c>
      <x:c r="D37" s="43" t="str">
        <x:v>Are repair, maintenance and local service options available?</x:v>
      </x:c>
      <x:c r="E37" s="43" t="str">
        <x:v>Machine</x:v>
      </x:c>
      <x:c r="F37" s="43" t="str"/>
      <x:c r="G37" s="43" t="str"/>
      <x:c r="H37" s="43" t="str"/>
      <x:c r="I37" s="43" t="str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3" t="str">
        <x:v>E</x:v>
      </x:c>
      <x:c r="B38" s="43" t="str">
        <x:v>6M Enterprise Readiness</x:v>
      </x:c>
      <x:c r="C38" s="43" t="n">
        <x:v>5</x:v>
      </x:c>
      <x:c r="D38" s="43" t="str">
        <x:v>Are raw materials locally available, seasonal and ecologically sustainable?</x:v>
      </x:c>
      <x:c r="E38" s="43" t="str">
        <x:v>Material</x:v>
      </x:c>
      <x:c r="F38" s="43" t="str"/>
      <x:c r="G38" s="43" t="str"/>
      <x:c r="H38" s="43" t="str"/>
      <x:c r="I38" s="43" t="str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3" t="str">
        <x:v>E</x:v>
      </x:c>
      <x:c r="B39" s="43" t="str">
        <x:v>6M Enterprise Readiness</x:v>
      </x:c>
      <x:c r="C39" s="43" t="n">
        <x:v>6</x:v>
      </x:c>
      <x:c r="D39" s="43" t="str">
        <x:v>Are quality standards and storage needs understood?</x:v>
      </x:c>
      <x:c r="E39" s="43" t="str">
        <x:v>Material</x:v>
      </x:c>
      <x:c r="F39" s="43" t="str"/>
      <x:c r="G39" s="43" t="str"/>
      <x:c r="H39" s="43" t="str"/>
      <x:c r="I39" s="43" t="str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3" t="str">
        <x:v>E</x:v>
      </x:c>
      <x:c r="B40" s="43" t="str">
        <x:v>6M Enterprise Readiness</x:v>
      </x:c>
      <x:c r="C40" s="43" t="n">
        <x:v>7</x:v>
      </x:c>
      <x:c r="D40" s="43" t="str">
        <x:v>Are SOPs, process flows, recipes, production methods or technical protocols available?</x:v>
      </x:c>
      <x:c r="E40" s="43" t="str">
        <x:v>Method</x:v>
      </x:c>
      <x:c r="F40" s="43" t="str"/>
      <x:c r="G40" s="43" t="str"/>
      <x:c r="H40" s="43" t="str"/>
      <x:c r="I40" s="43" t="str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3" t="str">
        <x:v>E</x:v>
      </x:c>
      <x:c r="B41" s="43" t="str">
        <x:v>6M Enterprise Readiness</x:v>
      </x:c>
      <x:c r="C41" s="43" t="n">
        <x:v>8</x:v>
      </x:c>
      <x:c r="D41" s="43" t="str">
        <x:v>Is there a mechanism for troubleshooting and improving the process?</x:v>
      </x:c>
      <x:c r="E41" s="43" t="str">
        <x:v>Method</x:v>
      </x:c>
      <x:c r="F41" s="43" t="str"/>
      <x:c r="G41" s="43" t="str"/>
      <x:c r="H41" s="43" t="str"/>
      <x:c r="I41" s="43" t="str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3" t="str">
        <x:v>E</x:v>
      </x:c>
      <x:c r="B42" s="43" t="str">
        <x:v>6M Enterprise Readiness</x:v>
      </x:c>
      <x:c r="C42" s="43" t="n">
        <x:v>9</x:v>
      </x:c>
      <x:c r="D42" s="43" t="str">
        <x:v>Are capital cost, working capital, margins and payback period calculated?</x:v>
      </x:c>
      <x:c r="E42" s="43" t="str">
        <x:v>Money</x:v>
      </x:c>
      <x:c r="F42" s="43" t="str"/>
      <x:c r="G42" s="43" t="str"/>
      <x:c r="H42" s="43" t="str"/>
      <x:c r="I42" s="43" t="str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3" t="str">
        <x:v>E</x:v>
      </x:c>
      <x:c r="B43" s="43" t="str">
        <x:v>6M Enterprise Readiness</x:v>
      </x:c>
      <x:c r="C43" s="43" t="n">
        <x:v>10</x:v>
      </x:c>
      <x:c r="D43" s="43" t="str">
        <x:v>Are grants, loans, schemes, CSR, community contribution or blended finance options mapped?</x:v>
      </x:c>
      <x:c r="E43" s="43" t="str">
        <x:v>Money</x:v>
      </x:c>
      <x:c r="F43" s="43" t="str"/>
      <x:c r="G43" s="43" t="str"/>
      <x:c r="H43" s="43" t="str"/>
      <x:c r="I43" s="43" t="str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3" t="str">
        <x:v>E</x:v>
      </x:c>
      <x:c r="B44" s="43" t="str">
        <x:v>6M Enterprise Readiness</x:v>
      </x:c>
      <x:c r="C44" s="43" t="n">
        <x:v>11</x:v>
      </x:c>
      <x:c r="D44" s="43" t="str">
        <x:v>Are local, institutional, B2B and external markets mapped?</x:v>
      </x:c>
      <x:c r="E44" s="43" t="str">
        <x:v>Market</x:v>
      </x:c>
      <x:c r="F44" s="43" t="str"/>
      <x:c r="G44" s="43" t="str"/>
      <x:c r="H44" s="43" t="str"/>
      <x:c r="I44" s="43" t="str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3" t="str">
        <x:v>E</x:v>
      </x:c>
      <x:c r="B45" s="43" t="str">
        <x:v>6M Enterprise Readiness</x:v>
      </x:c>
      <x:c r="C45" s="43" t="n">
        <x:v>12</x:v>
      </x:c>
      <x:c r="D45" s="43" t="str">
        <x:v>Are buyer relationships, pricing, packaging, branding or aggregation models defined?</x:v>
      </x:c>
      <x:c r="E45" s="43" t="str">
        <x:v>Market</x:v>
      </x:c>
      <x:c r="F45" s="43" t="str"/>
      <x:c r="G45" s="43" t="str"/>
      <x:c r="H45" s="43" t="str"/>
      <x:c r="I45" s="43" t="str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3" t="str">
        <x:v>F</x:v>
      </x:c>
      <x:c r="B46" s="43" t="str">
        <x:v>Local Production Economy Potential</x:v>
      </x:c>
      <x:c r="C46" s="43" t="n">
        <x:v>1</x:v>
      </x:c>
      <x:c r="D46" s="43" t="str">
        <x:v>Does the organisation identify products or services currently bought from outside that could be produced locally?</x:v>
      </x:c>
      <x:c r="E46" s="43" t="str">
        <x:v>Import Substitution</x:v>
      </x:c>
      <x:c r="F46" s="43" t="str"/>
      <x:c r="G46" s="43" t="str"/>
      <x:c r="H46" s="43" t="str"/>
      <x:c r="I46" s="43" t="str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3" t="str">
        <x:v>F</x:v>
      </x:c>
      <x:c r="B47" s="43" t="str">
        <x:v>Local Production Economy Potential</x:v>
      </x:c>
      <x:c r="C47" s="43" t="n">
        <x:v>2</x:v>
      </x:c>
      <x:c r="D47" s="43" t="str">
        <x:v>Does it work on value addition closer to the origin of raw material?</x:v>
      </x:c>
      <x:c r="E47" s="43" t="str">
        <x:v>Value Chain Upgrade</x:v>
      </x:c>
      <x:c r="F47" s="43" t="str"/>
      <x:c r="G47" s="43" t="str"/>
      <x:c r="H47" s="43" t="str"/>
      <x:c r="I47" s="43" t="str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3" t="str">
        <x:v>F</x:v>
      </x:c>
      <x:c r="B48" s="43" t="str">
        <x:v>Local Production Economy Potential</x:v>
      </x:c>
      <x:c r="C48" s="43" t="n">
        <x:v>3</x:v>
      </x:c>
      <x:c r="D48" s="43" t="str">
        <x:v>Does it connect farmers, SHGs, FPOs, youth and local businesses into one value chain?</x:v>
      </x:c>
      <x:c r="E48" s="43" t="str">
        <x:v>Integration</x:v>
      </x:c>
      <x:c r="F48" s="43" t="str"/>
      <x:c r="G48" s="43" t="str"/>
      <x:c r="H48" s="43" t="str"/>
      <x:c r="I48" s="43" t="str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3" t="str">
        <x:v>F</x:v>
      </x:c>
      <x:c r="B49" s="43" t="str">
        <x:v>Local Production Economy Potential</x:v>
      </x:c>
      <x:c r="C49" s="43" t="n">
        <x:v>4</x:v>
      </x:c>
      <x:c r="D49" s="43" t="str">
        <x:v>Does it create opportunities across multiple roles: producer, processor, service provider, trader, repairer, aggregator?</x:v>
      </x:c>
      <x:c r="E49" s="43" t="str">
        <x:v>Role Diversity</x:v>
      </x:c>
      <x:c r="F49" s="43" t="str"/>
      <x:c r="G49" s="43" t="str"/>
      <x:c r="H49" s="43" t="str"/>
      <x:c r="I49" s="43" t="str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3" t="str">
        <x:v>F</x:v>
      </x:c>
      <x:c r="B50" s="43" t="str">
        <x:v>Local Production Economy Potential</x:v>
      </x:c>
      <x:c r="C50" s="43" t="n">
        <x:v>5</x:v>
      </x:c>
      <x:c r="D50" s="43" t="str">
        <x:v>Does it strengthen local circulation of money within the place?</x:v>
      </x:c>
      <x:c r="E50" s="43" t="str">
        <x:v>Value Retention</x:v>
      </x:c>
      <x:c r="F50" s="43" t="str"/>
      <x:c r="G50" s="43" t="str"/>
      <x:c r="H50" s="43" t="str"/>
      <x:c r="I50" s="43" t="str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3" t="str">
        <x:v>F</x:v>
      </x:c>
      <x:c r="B51" s="43" t="str">
        <x:v>Local Production Economy Potential</x:v>
      </x:c>
      <x:c r="C51" s="43" t="n">
        <x:v>6</x:v>
      </x:c>
      <x:c r="D51" s="43" t="str">
        <x:v>Does it consider local institutional demand: schools, anganwadis, hostels, hospitals, panchayats, SHGs, FPOs?</x:v>
      </x:c>
      <x:c r="E51" s="43" t="str">
        <x:v>Institutional Demand</x:v>
      </x:c>
      <x:c r="F51" s="43" t="str"/>
      <x:c r="G51" s="43" t="str"/>
      <x:c r="H51" s="43" t="str"/>
      <x:c r="I51" s="43" t="str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3" t="str">
        <x:v>F</x:v>
      </x:c>
      <x:c r="B52" s="43" t="str">
        <x:v>Local Production Economy Potential</x:v>
      </x:c>
      <x:c r="C52" s="43" t="n">
        <x:v>7</x:v>
      </x:c>
      <x:c r="D52" s="43" t="str">
        <x:v>Does it track import substitution or local value retention?</x:v>
      </x:c>
      <x:c r="E52" s="43" t="str">
        <x:v>Measurement</x:v>
      </x:c>
      <x:c r="F52" s="43" t="str"/>
      <x:c r="G52" s="43" t="str"/>
      <x:c r="H52" s="43" t="str"/>
      <x:c r="I52" s="43" t="str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3" t="str">
        <x:v>F</x:v>
      </x:c>
      <x:c r="B53" s="43" t="str">
        <x:v>Local Production Economy Potential</x:v>
      </x:c>
      <x:c r="C53" s="43" t="n">
        <x:v>8</x:v>
      </x:c>
      <x:c r="D53" s="43" t="str">
        <x:v>Does it build resilience against migration, market shocks or climate shocks?</x:v>
      </x:c>
      <x:c r="E53" s="43" t="str">
        <x:v>Resilience</x:v>
      </x:c>
      <x:c r="F53" s="43" t="str"/>
      <x:c r="G53" s="43" t="str"/>
      <x:c r="H53" s="43" t="str"/>
      <x:c r="I53" s="43" t="str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3" t="str">
        <x:v>G</x:v>
      </x:c>
      <x:c r="B54" s="43" t="str">
        <x:v>Existing Local Ecosystem &amp; Informal Support Systems</x:v>
      </x:c>
      <x:c r="C54" s="43" t="n">
        <x:v>1</x:v>
      </x:c>
      <x:c r="D54" s="43" t="str">
        <x:v>Has the organisation mapped informal local helpers, fixers, trainers, advisors and entrepreneurs?</x:v>
      </x:c>
      <x:c r="E54" s="43" t="str">
        <x:v>Informal Helpers</x:v>
      </x:c>
      <x:c r="F54" s="43" t="str"/>
      <x:c r="G54" s="43" t="str"/>
      <x:c r="H54" s="43" t="str"/>
      <x:c r="I54" s="43" t="str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3" t="str">
        <x:v>G</x:v>
      </x:c>
      <x:c r="B55" s="43" t="str">
        <x:v>Existing Local Ecosystem &amp; Informal Support Systems</x:v>
      </x:c>
      <x:c r="C55" s="43" t="n">
        <x:v>2</x:v>
      </x:c>
      <x:c r="D55" s="43" t="str">
        <x:v>Has it identified local traders, aggregators, haat buyers, commission agents and market intermediaries?</x:v>
      </x:c>
      <x:c r="E55" s="43" t="str">
        <x:v>Trader Network</x:v>
      </x:c>
      <x:c r="F55" s="43" t="str"/>
      <x:c r="G55" s="43" t="str"/>
      <x:c r="H55" s="43" t="str"/>
      <x:c r="I55" s="43" t="str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3" t="str">
        <x:v>G</x:v>
      </x:c>
      <x:c r="B56" s="43" t="str">
        <x:v>Existing Local Ecosystem &amp; Informal Support Systems</x:v>
      </x:c>
      <x:c r="C56" s="43" t="n">
        <x:v>3</x:v>
      </x:c>
      <x:c r="D56" s="43" t="str">
        <x:v>Has it mapped repair shops, fabrication sheds, tool rooms, ITIs, KVKs or maker-like spaces?</x:v>
      </x:c>
      <x:c r="E56" s="43" t="str">
        <x:v>Makerspaces</x:v>
      </x:c>
      <x:c r="F56" s="43" t="str"/>
      <x:c r="G56" s="43" t="str"/>
      <x:c r="H56" s="43" t="str"/>
      <x:c r="I56" s="43" t="str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3" t="str">
        <x:v>G</x:v>
      </x:c>
      <x:c r="B57" s="43" t="str">
        <x:v>Existing Local Ecosystem &amp; Informal Support Systems</x:v>
      </x:c>
      <x:c r="C57" s="43" t="n">
        <x:v>4</x:v>
      </x:c>
      <x:c r="D57" s="43" t="str">
        <x:v>Has it identified local peer learning groups such as SHGs, youth groups and producer collectives?</x:v>
      </x:c>
      <x:c r="E57" s="43" t="str">
        <x:v>Peer Learning</x:v>
      </x:c>
      <x:c r="F57" s="43" t="str"/>
      <x:c r="G57" s="43" t="str"/>
      <x:c r="H57" s="43" t="str"/>
      <x:c r="I57" s="43" t="str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3" t="str">
        <x:v>G</x:v>
      </x:c>
      <x:c r="B58" s="43" t="str">
        <x:v>Existing Local Ecosystem &amp; Informal Support Systems</x:v>
      </x:c>
      <x:c r="C58" s="43" t="n">
        <x:v>5</x:v>
      </x:c>
      <x:c r="D58" s="43" t="str">
        <x:v>Does it treat existing informal actors as assets rather than bypassing them?</x:v>
      </x:c>
      <x:c r="E58" s="43" t="str">
        <x:v>Asset Recognition</x:v>
      </x:c>
      <x:c r="F58" s="43" t="str"/>
      <x:c r="G58" s="43" t="str"/>
      <x:c r="H58" s="43" t="str"/>
      <x:c r="I58" s="43" t="str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3" t="str">
        <x:v>G</x:v>
      </x:c>
      <x:c r="B59" s="43" t="str">
        <x:v>Existing Local Ecosystem &amp; Informal Support Systems</x:v>
      </x:c>
      <x:c r="C59" s="43" t="n">
        <x:v>6</x:v>
      </x:c>
      <x:c r="D59" s="43" t="str">
        <x:v>Does it organise these actors into dependable service pathways?</x:v>
      </x:c>
      <x:c r="E59" s="43" t="str">
        <x:v>Service Pathways</x:v>
      </x:c>
      <x:c r="F59" s="43" t="str"/>
      <x:c r="G59" s="43" t="str"/>
      <x:c r="H59" s="43" t="str"/>
      <x:c r="I59" s="43" t="str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3" t="str">
        <x:v>G</x:v>
      </x:c>
      <x:c r="B60" s="43" t="str">
        <x:v>Existing Local Ecosystem &amp; Informal Support Systems</x:v>
      </x:c>
      <x:c r="C60" s="43" t="n">
        <x:v>7</x:v>
      </x:c>
      <x:c r="D60" s="43" t="str">
        <x:v>Does it strengthen quality, reliability and access without replacing local actors?</x:v>
      </x:c>
      <x:c r="E60" s="43" t="str">
        <x:v>Strengthening</x:v>
      </x:c>
      <x:c r="F60" s="43" t="str"/>
      <x:c r="G60" s="43" t="str"/>
      <x:c r="H60" s="43" t="str"/>
      <x:c r="I60" s="43" t="str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3" t="str">
        <x:v>G</x:v>
      </x:c>
      <x:c r="B61" s="43" t="str">
        <x:v>Existing Local Ecosystem &amp; Informal Support Systems</x:v>
      </x:c>
      <x:c r="C61" s="43" t="n">
        <x:v>8</x:v>
      </x:c>
      <x:c r="D61" s="43" t="str">
        <x:v>Does it maintain a local directory or knowledge base of these support actors?</x:v>
      </x:c>
      <x:c r="E61" s="43" t="str">
        <x:v>Directory</x:v>
      </x:c>
      <x:c r="F61" s="43" t="str"/>
      <x:c r="G61" s="43" t="str"/>
      <x:c r="H61" s="43" t="str"/>
      <x:c r="I61" s="43" t="str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3" t="str">
        <x:v>H</x:v>
      </x:c>
      <x:c r="B62" s="43" t="str">
        <x:v>Nine Platform Components Readiness</x:v>
      </x:c>
      <x:c r="C62" s="43" t="n">
        <x:v>1</x:v>
      </x:c>
      <x:c r="D62" s="43" t="str">
        <x:v>Does the organisation provide or enable practical production help through calls, WhatsApp groups, field support, helplines or local coordinators?</x:v>
      </x:c>
      <x:c r="E62" s="43" t="str">
        <x:v>1. Production Help Platforms</x:v>
      </x:c>
      <x:c r="F62" s="43" t="str"/>
      <x:c r="G62" s="43" t="str"/>
      <x:c r="H62" s="43" t="str"/>
      <x:c r="I62" s="43" t="str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3" t="str">
        <x:v>H</x:v>
      </x:c>
      <x:c r="B63" s="43" t="str">
        <x:v>Nine Platform Components Readiness</x:v>
      </x:c>
      <x:c r="C63" s="43" t="n">
        <x:v>2</x:v>
      </x:c>
      <x:c r="D63" s="43" t="str">
        <x:v>Does it create crop maps, price notes, value-chain maps, local economy stories or village enterprise tools?</x:v>
      </x:c>
      <x:c r="E63" s="43" t="str">
        <x:v>2. Local Economy Tools &amp; Narratives</x:v>
      </x:c>
      <x:c r="F63" s="43" t="str"/>
      <x:c r="G63" s="43" t="str"/>
      <x:c r="H63" s="43" t="str"/>
      <x:c r="I63" s="43" t="str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3" t="str">
        <x:v>H</x:v>
      </x:c>
      <x:c r="B64" s="43" t="str">
        <x:v>Nine Platform Components Readiness</x:v>
      </x:c>
      <x:c r="C64" s="43" t="n">
        <x:v>3</x:v>
      </x:c>
      <x:c r="D64" s="43" t="str">
        <x:v>Does it connect communities to structured training, incubation, KVKs, ITIs, NGOs or enterprise support?</x:v>
      </x:c>
      <x:c r="E64" s="43" t="str">
        <x:v>3. Skill &amp; Incubation Network</x:v>
      </x:c>
      <x:c r="F64" s="43" t="str"/>
      <x:c r="G64" s="43" t="str"/>
      <x:c r="H64" s="43" t="str"/>
      <x:c r="I64" s="43" t="str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3" t="str">
        <x:v>H</x:v>
      </x:c>
      <x:c r="B65" s="43" t="str">
        <x:v>Nine Platform Components Readiness</x:v>
      </x:c>
      <x:c r="C65" s="43" t="n">
        <x:v>4</x:v>
      </x:c>
      <x:c r="D65" s="43" t="str">
        <x:v>Does it connect local entrepreneurs to mentors, technical experts, retired professionals or experienced entrepreneurs?</x:v>
      </x:c>
      <x:c r="E65" s="43" t="str">
        <x:v>4. Mentor Network &amp; Consulting</x:v>
      </x:c>
      <x:c r="F65" s="43" t="str"/>
      <x:c r="G65" s="43" t="str"/>
      <x:c r="H65" s="43" t="str"/>
      <x:c r="I65" s="43" t="str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3" t="str">
        <x:v>H</x:v>
      </x:c>
      <x:c r="B66" s="43" t="str">
        <x:v>Nine Platform Components Readiness</x:v>
      </x:c>
      <x:c r="C66" s="43" t="n">
        <x:v>5</x:v>
      </x:c>
      <x:c r="D66" s="43" t="str">
        <x:v>Does it map and engage traders, buyers, aggregators and B2B market actors?</x:v>
      </x:c>
      <x:c r="E66" s="43" t="str">
        <x:v>5. Trader Network</x:v>
      </x:c>
      <x:c r="F66" s="43" t="str"/>
      <x:c r="G66" s="43" t="str"/>
      <x:c r="H66" s="43" t="str"/>
      <x:c r="I66" s="43" t="str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3" t="str">
        <x:v>H</x:v>
      </x:c>
      <x:c r="B67" s="43" t="str">
        <x:v>Nine Platform Components Readiness</x:v>
      </x:c>
      <x:c r="C67" s="43" t="n">
        <x:v>6</x:v>
      </x:c>
      <x:c r="D67" s="43" t="str">
        <x:v>Does it provide access to tools, machines, repair spaces, labs or hands-on experimentation spaces?</x:v>
      </x:c>
      <x:c r="E67" s="43" t="str">
        <x:v>6. Makerspaces &amp; Self Learning</x:v>
      </x:c>
      <x:c r="F67" s="43" t="str"/>
      <x:c r="G67" s="43" t="str"/>
      <x:c r="H67" s="43" t="str"/>
      <x:c r="I67" s="43" t="str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3" t="str">
        <x:v>H</x:v>
      </x:c>
      <x:c r="B68" s="43" t="str">
        <x:v>Nine Platform Components Readiness</x:v>
      </x:c>
      <x:c r="C68" s="43" t="n">
        <x:v>7</x:v>
      </x:c>
      <x:c r="D68" s="43" t="str">
        <x:v>Does it support peer groups, exposure sharing, learning circles or entrepreneur communities?</x:v>
      </x:c>
      <x:c r="E68" s="43" t="str">
        <x:v>7. Peer Learning &amp; Community</x:v>
      </x:c>
      <x:c r="F68" s="43" t="str"/>
      <x:c r="G68" s="43" t="str"/>
      <x:c r="H68" s="43" t="str"/>
      <x:c r="I68" s="43" t="str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3" t="str">
        <x:v>H</x:v>
      </x:c>
      <x:c r="B69" s="43" t="str">
        <x:v>Nine Platform Components Readiness</x:v>
      </x:c>
      <x:c r="C69" s="43" t="n">
        <x:v>8</x:v>
      </x:c>
      <x:c r="D69" s="43" t="str">
        <x:v>Does it organise demonstrations, troubleshooting camps, exposure visits or short clinics?</x:v>
      </x:c>
      <x:c r="E69" s="43" t="str">
        <x:v>8. Exposures &amp; Clinics</x:v>
      </x:c>
      <x:c r="F69" s="43" t="str"/>
      <x:c r="G69" s="43" t="str"/>
      <x:c r="H69" s="43" t="str"/>
      <x:c r="I69" s="43" t="str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3" t="str">
        <x:v>H</x:v>
      </x:c>
      <x:c r="B70" s="43" t="str">
        <x:v>Nine Platform Components Readiness</x:v>
      </x:c>
      <x:c r="C70" s="43" t="n">
        <x:v>9</x:v>
      </x:c>
      <x:c r="D70" s="43" t="str">
        <x:v>Does it support compliance, accounting, registrations, bank linkage, schemes, GST, packaging, branding or licences?</x:v>
      </x:c>
      <x:c r="E70" s="43" t="str">
        <x:v>9. Business Support Programmes</x:v>
      </x:c>
      <x:c r="F70" s="43" t="str"/>
      <x:c r="G70" s="43" t="str"/>
      <x:c r="H70" s="43" t="str"/>
      <x:c r="I70" s="43" t="str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3" t="str">
        <x:v>I</x:v>
      </x:c>
      <x:c r="B71" s="43" t="str">
        <x:v>POESI Architecture Fit</x:v>
      </x:c>
      <x:c r="C71" s="43" t="n">
        <x:v>1</x:v>
      </x:c>
      <x:c r="D71" s="43" t="str">
        <x:v>Does the organisation bring deep understanding of local needs, assets, ecology, spend and market flows?</x:v>
      </x:c>
      <x:c r="E71" s="43" t="str">
        <x:v>Place</x:v>
      </x:c>
      <x:c r="F71" s="43" t="str"/>
      <x:c r="G71" s="43" t="str"/>
      <x:c r="H71" s="43" t="str"/>
      <x:c r="I71" s="43" t="str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3" t="str">
        <x:v>I</x:v>
      </x:c>
      <x:c r="B72" s="43" t="str">
        <x:v>POESI Architecture Fit</x:v>
      </x:c>
      <x:c r="C72" s="43" t="n">
        <x:v>2</x:v>
      </x:c>
      <x:c r="D72" s="43" t="str">
        <x:v>Does it work with panchayats, SHGs, FPOs, youth, artisans or community entrepreneurs as owners?</x:v>
      </x:c>
      <x:c r="E72" s="43" t="str">
        <x:v>Owners</x:v>
      </x:c>
      <x:c r="F72" s="43" t="str"/>
      <x:c r="G72" s="43" t="str"/>
      <x:c r="H72" s="43" t="str"/>
      <x:c r="I72" s="43" t="str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3" t="str">
        <x:v>I</x:v>
      </x:c>
      <x:c r="B73" s="43" t="str">
        <x:v>POESI Architecture Fit</x:v>
      </x:c>
      <x:c r="C73" s="43" t="n">
        <x:v>3</x:v>
      </x:c>
      <x:c r="D73" s="43" t="str">
        <x:v>Does it connect mentors, institutes, trainers, traders, local businesses or CSOs?</x:v>
      </x:c>
      <x:c r="E73" s="43" t="str">
        <x:v>Enablers</x:v>
      </x:c>
      <x:c r="F73" s="43" t="str"/>
      <x:c r="G73" s="43" t="str"/>
      <x:c r="H73" s="43" t="str"/>
      <x:c r="I73" s="43" t="str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3" t="str">
        <x:v>I</x:v>
      </x:c>
      <x:c r="B74" s="43" t="str">
        <x:v>POESI Architecture Fit</x:v>
      </x:c>
      <x:c r="C74" s="43" t="n">
        <x:v>4</x:v>
      </x:c>
      <x:c r="D74" s="43" t="str">
        <x:v>Does it contribute to 6M solution stacks: playbooks, trainers, machines, vendors, finance, SOPs or market links?</x:v>
      </x:c>
      <x:c r="E74" s="43" t="str">
        <x:v>Solutions</x:v>
      </x:c>
      <x:c r="F74" s="43" t="str"/>
      <x:c r="G74" s="43" t="str"/>
      <x:c r="H74" s="43" t="str"/>
      <x:c r="I74" s="43" t="str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3" t="str">
        <x:v>I</x:v>
      </x:c>
      <x:c r="B75" s="43" t="str">
        <x:v>POESI Architecture Fit</x:v>
      </x:c>
      <x:c r="C75" s="43" t="n">
        <x:v>5</x:v>
      </x:c>
      <x:c r="D75" s="43" t="str">
        <x:v>Does it help build platforms, data, knowledge commons, maker spaces, public scheme linkages or policy rails?</x:v>
      </x:c>
      <x:c r="E75" s="43" t="str">
        <x:v>Infrastructure</x:v>
      </x:c>
      <x:c r="F75" s="43" t="str"/>
      <x:c r="G75" s="43" t="str"/>
      <x:c r="H75" s="43" t="str"/>
      <x:c r="I75" s="43" t="str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3" t="str">
        <x:v>I</x:v>
      </x:c>
      <x:c r="B76" s="43" t="str">
        <x:v>POESI Architecture Fit</x:v>
      </x:c>
      <x:c r="C76" s="43" t="n">
        <x:v>6</x:v>
      </x:c>
      <x:c r="D76" s="43" t="str">
        <x:v>Does it assemble actors around the place rather than bringing a fixed solution to the place?</x:v>
      </x:c>
      <x:c r="E76" s="43" t="str">
        <x:v>Integration</x:v>
      </x:c>
      <x:c r="F76" s="43" t="str"/>
      <x:c r="G76" s="43" t="str"/>
      <x:c r="H76" s="43" t="str"/>
      <x:c r="I76" s="43" t="str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3" t="str">
        <x:v>J</x:v>
      </x:c>
      <x:c r="B77" s="43" t="str">
        <x:v>Market, Finance &amp; Sustainability</x:v>
      </x:c>
      <x:c r="C77" s="43" t="n">
        <x:v>1</x:v>
      </x:c>
      <x:c r="D77" s="43" t="str">
        <x:v>Does the organisation understand demand before starting production?</x:v>
      </x:c>
      <x:c r="E77" s="43" t="str">
        <x:v>Demand</x:v>
      </x:c>
      <x:c r="F77" s="43" t="str"/>
      <x:c r="G77" s="43" t="str"/>
      <x:c r="H77" s="43" t="str"/>
      <x:c r="I77" s="43" t="str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3" t="str">
        <x:v>J</x:v>
      </x:c>
      <x:c r="B78" s="43" t="str">
        <x:v>Market, Finance &amp; Sustainability</x:v>
      </x:c>
      <x:c r="C78" s="43" t="n">
        <x:v>2</x:v>
      </x:c>
      <x:c r="D78" s="43" t="str">
        <x:v>Are customers, buyers or procurement channels identified before investment?</x:v>
      </x:c>
      <x:c r="E78" s="43" t="str">
        <x:v>Buyer Readiness</x:v>
      </x:c>
      <x:c r="F78" s="43" t="str"/>
      <x:c r="G78" s="43" t="str"/>
      <x:c r="H78" s="43" t="str"/>
      <x:c r="I78" s="43" t="str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3" t="str">
        <x:v>J</x:v>
      </x:c>
      <x:c r="B79" s="43" t="str">
        <x:v>Market, Finance &amp; Sustainability</x:v>
      </x:c>
      <x:c r="C79" s="43" t="n">
        <x:v>3</x:v>
      </x:c>
      <x:c r="D79" s="43" t="str">
        <x:v>Are local markets treated as partners rather than obstacles?</x:v>
      </x:c>
      <x:c r="E79" s="43" t="str">
        <x:v>Market Partnership</x:v>
      </x:c>
      <x:c r="F79" s="43" t="str"/>
      <x:c r="G79" s="43" t="str"/>
      <x:c r="H79" s="43" t="str"/>
      <x:c r="I79" s="43" t="str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3" t="str">
        <x:v>J</x:v>
      </x:c>
      <x:c r="B80" s="43" t="str">
        <x:v>Market, Finance &amp; Sustainability</x:v>
      </x:c>
      <x:c r="C80" s="43" t="n">
        <x:v>4</x:v>
      </x:c>
      <x:c r="D80" s="43" t="str">
        <x:v>Does the model include pricing, margins and working capital?</x:v>
      </x:c>
      <x:c r="E80" s="43" t="str">
        <x:v>Unit Economics</x:v>
      </x:c>
      <x:c r="F80" s="43" t="str"/>
      <x:c r="G80" s="43" t="str"/>
      <x:c r="H80" s="43" t="str"/>
      <x:c r="I80" s="43" t="str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3" t="str">
        <x:v>J</x:v>
      </x:c>
      <x:c r="B81" s="43" t="str">
        <x:v>Market, Finance &amp; Sustainability</x:v>
      </x:c>
      <x:c r="C81" s="43" t="n">
        <x:v>5</x:v>
      </x:c>
      <x:c r="D81" s="43" t="str">
        <x:v>Are multiple financing routes mapped: community capital, loans, schemes, CSR, grants, buyer advances?</x:v>
      </x:c>
      <x:c r="E81" s="43" t="str">
        <x:v>Finance Routes</x:v>
      </x:c>
      <x:c r="F81" s="43" t="str"/>
      <x:c r="G81" s="43" t="str"/>
      <x:c r="H81" s="43" t="str"/>
      <x:c r="I81" s="43" t="str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3" t="str">
        <x:v>J</x:v>
      </x:c>
      <x:c r="B82" s="43" t="str">
        <x:v>Market, Finance &amp; Sustainability</x:v>
      </x:c>
      <x:c r="C82" s="43" t="n">
        <x:v>6</x:v>
      </x:c>
      <x:c r="D82" s="43" t="str">
        <x:v>Is there clarity on who bears risk if the enterprise fails?</x:v>
      </x:c>
      <x:c r="E82" s="43" t="str">
        <x:v>Risk Sharing</x:v>
      </x:c>
      <x:c r="F82" s="43" t="str"/>
      <x:c r="G82" s="43" t="str"/>
      <x:c r="H82" s="43" t="str"/>
      <x:c r="I82" s="43" t="str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3" t="str">
        <x:v>J</x:v>
      </x:c>
      <x:c r="B83" s="43" t="str">
        <x:v>Market, Finance &amp; Sustainability</x:v>
      </x:c>
      <x:c r="C83" s="43" t="n">
        <x:v>7</x:v>
      </x:c>
      <x:c r="D83" s="43" t="str">
        <x:v>Does the organisation track revenue, profit, cash flow and repayment?</x:v>
      </x:c>
      <x:c r="E83" s="43" t="str">
        <x:v>Financial Tracking</x:v>
      </x:c>
      <x:c r="F83" s="43" t="str"/>
      <x:c r="G83" s="43" t="str"/>
      <x:c r="H83" s="43" t="str"/>
      <x:c r="I83" s="43" t="str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3" t="str">
        <x:v>J</x:v>
      </x:c>
      <x:c r="B84" s="43" t="str">
        <x:v>Market, Finance &amp; Sustainability</x:v>
      </x:c>
      <x:c r="C84" s="43" t="n">
        <x:v>8</x:v>
      </x:c>
      <x:c r="D84" s="43" t="str">
        <x:v>Can the enterprise continue after grant or project support ends?</x:v>
      </x:c>
      <x:c r="E84" s="43" t="str">
        <x:v>Sustainability</x:v>
      </x:c>
      <x:c r="F84" s="43" t="str"/>
      <x:c r="G84" s="43" t="str"/>
      <x:c r="H84" s="43" t="str"/>
      <x:c r="I84" s="43" t="str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3" t="str">
        <x:v>K</x:v>
      </x:c>
      <x:c r="B85" s="43" t="str">
        <x:v>Platformisation &amp; Servicification Readiness</x:v>
      </x:c>
      <x:c r="C85" s="43" t="n">
        <x:v>1</x:v>
      </x:c>
      <x:c r="D85" s="43" t="str">
        <x:v>Does the organisation package its knowledge as services, tools, playbooks or modules?</x:v>
      </x:c>
      <x:c r="E85" s="43" t="str">
        <x:v>Modular Services</x:v>
      </x:c>
      <x:c r="F85" s="43" t="str"/>
      <x:c r="G85" s="43" t="str"/>
      <x:c r="H85" s="43" t="str"/>
      <x:c r="I85" s="43" t="str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3" t="str">
        <x:v>K</x:v>
      </x:c>
      <x:c r="B86" s="43" t="str">
        <x:v>Platformisation &amp; Servicification Readiness</x:v>
      </x:c>
      <x:c r="C86" s="43" t="n">
        <x:v>2</x:v>
      </x:c>
      <x:c r="D86" s="43" t="str">
        <x:v>Can its support be accessed on demand by other places or partners?</x:v>
      </x:c>
      <x:c r="E86" s="43" t="str">
        <x:v>On-demand Access</x:v>
      </x:c>
      <x:c r="F86" s="43" t="str"/>
      <x:c r="G86" s="43" t="str"/>
      <x:c r="H86" s="43" t="str"/>
      <x:c r="I86" s="43" t="str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3" t="str">
        <x:v>K</x:v>
      </x:c>
      <x:c r="B87" s="43" t="str">
        <x:v>Platformisation &amp; Servicification Readiness</x:v>
      </x:c>
      <x:c r="C87" s="43" t="n">
        <x:v>3</x:v>
      </x:c>
      <x:c r="D87" s="43" t="str">
        <x:v>Does it document service providers, trainers, vendors, costs and methods?</x:v>
      </x:c>
      <x:c r="E87" s="43" t="str">
        <x:v>Documentation</x:v>
      </x:c>
      <x:c r="F87" s="43" t="str"/>
      <x:c r="G87" s="43" t="str"/>
      <x:c r="H87" s="43" t="str"/>
      <x:c r="I87" s="43" t="str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3" t="str">
        <x:v>K</x:v>
      </x:c>
      <x:c r="B88" s="43" t="str">
        <x:v>Platformisation &amp; Servicification Readiness</x:v>
      </x:c>
      <x:c r="C88" s="43" t="n">
        <x:v>4</x:v>
      </x:c>
      <x:c r="D88" s="43" t="str">
        <x:v>Does it collaborate with other organisations rather than working in isolation?</x:v>
      </x:c>
      <x:c r="E88" s="43" t="str">
        <x:v>Collaboration</x:v>
      </x:c>
      <x:c r="F88" s="43" t="str"/>
      <x:c r="G88" s="43" t="str"/>
      <x:c r="H88" s="43" t="str"/>
      <x:c r="I88" s="43" t="str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3" t="str">
        <x:v>K</x:v>
      </x:c>
      <x:c r="B89" s="43" t="str">
        <x:v>Platformisation &amp; Servicification Readiness</x:v>
      </x:c>
      <x:c r="C89" s="43" t="n">
        <x:v>5</x:v>
      </x:c>
      <x:c r="D89" s="43" t="str">
        <x:v>Can it contribute to a shared knowledge base or solution platform?</x:v>
      </x:c>
      <x:c r="E89" s="43" t="str">
        <x:v>Knowledge Commons</x:v>
      </x:c>
      <x:c r="F89" s="43" t="str"/>
      <x:c r="G89" s="43" t="str"/>
      <x:c r="H89" s="43" t="str"/>
      <x:c r="I89" s="43" t="str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3" t="str">
        <x:v>K</x:v>
      </x:c>
      <x:c r="B90" s="43" t="str">
        <x:v>Platformisation &amp; Servicification Readiness</x:v>
      </x:c>
      <x:c r="C90" s="43" t="n">
        <x:v>6</x:v>
      </x:c>
      <x:c r="D90" s="43" t="str">
        <x:v>Does it capture feedback from users and improve its services?</x:v>
      </x:c>
      <x:c r="E90" s="43" t="str">
        <x:v>Feedback</x:v>
      </x:c>
      <x:c r="F90" s="43" t="str"/>
      <x:c r="G90" s="43" t="str"/>
      <x:c r="H90" s="43" t="str"/>
      <x:c r="I90" s="43" t="str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3" t="str">
        <x:v>K</x:v>
      </x:c>
      <x:c r="B91" s="43" t="str">
        <x:v>Platformisation &amp; Servicification Readiness</x:v>
      </x:c>
      <x:c r="C91" s="43" t="n">
        <x:v>7</x:v>
      </x:c>
      <x:c r="D91" s="43" t="str">
        <x:v>Can its model be hosted, strengthened or replicated by others?</x:v>
      </x:c>
      <x:c r="E91" s="43" t="str">
        <x:v>Replication</x:v>
      </x:c>
      <x:c r="F91" s="43" t="str"/>
      <x:c r="G91" s="43" t="str"/>
      <x:c r="H91" s="43" t="str"/>
      <x:c r="I91" s="43" t="str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3" t="str">
        <x:v>K</x:v>
      </x:c>
      <x:c r="B92" s="43" t="str">
        <x:v>Platformisation &amp; Servicification Readiness</x:v>
      </x:c>
      <x:c r="C92" s="43" t="n">
        <x:v>8</x:v>
      </x:c>
      <x:c r="D92" s="43" t="str">
        <x:v>Does it think of itself as an ecosystem enabler, not only a project implementer?</x:v>
      </x:c>
      <x:c r="E92" s="43" t="str">
        <x:v>Ecosystem Enabler</x:v>
      </x:c>
      <x:c r="F92" s="43" t="str"/>
      <x:c r="G92" s="43" t="str"/>
      <x:c r="H92" s="43" t="str"/>
      <x:c r="I92" s="43" t="str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3" t="str">
        <x:v>L</x:v>
      </x:c>
      <x:c r="B93" s="43" t="str">
        <x:v>Evidence, Learning &amp; Replication</x:v>
      </x:c>
      <x:c r="C93" s="43" t="n">
        <x:v>1</x:v>
      </x:c>
      <x:c r="D93" s="43" t="str">
        <x:v>Does the organisation maintain data on places, households, enterprises and value chains?</x:v>
      </x:c>
      <x:c r="E93" s="43" t="str">
        <x:v>Data</x:v>
      </x:c>
      <x:c r="F93" s="43" t="str"/>
      <x:c r="G93" s="43" t="str"/>
      <x:c r="H93" s="43" t="str"/>
      <x:c r="I93" s="43" t="str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3" t="str">
        <x:v>L</x:v>
      </x:c>
      <x:c r="B94" s="43" t="str">
        <x:v>Evidence, Learning &amp; Replication</x:v>
      </x:c>
      <x:c r="C94" s="43" t="n">
        <x:v>2</x:v>
      </x:c>
      <x:c r="D94" s="43" t="str">
        <x:v>Does it track enterprises designed and deployed?</x:v>
      </x:c>
      <x:c r="E94" s="43" t="str">
        <x:v>Enterprise Tracking</x:v>
      </x:c>
      <x:c r="F94" s="43" t="str"/>
      <x:c r="G94" s="43" t="str"/>
      <x:c r="H94" s="43" t="str"/>
      <x:c r="I94" s="43" t="str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3" t="str">
        <x:v>L</x:v>
      </x:c>
      <x:c r="B95" s="43" t="str">
        <x:v>Evidence, Learning &amp; Replication</x:v>
      </x:c>
      <x:c r="C95" s="43" t="n">
        <x:v>3</x:v>
      </x:c>
      <x:c r="D95" s="43" t="str">
        <x:v>Does it track local income, value addition or import substitution?</x:v>
      </x:c>
      <x:c r="E95" s="43" t="str">
        <x:v>Outcome Tracking</x:v>
      </x:c>
      <x:c r="F95" s="43" t="str"/>
      <x:c r="G95" s="43" t="str"/>
      <x:c r="H95" s="43" t="str"/>
      <x:c r="I95" s="43" t="str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3" t="str">
        <x:v>L</x:v>
      </x:c>
      <x:c r="B96" s="43" t="str">
        <x:v>Evidence, Learning &amp; Replication</x:v>
      </x:c>
      <x:c r="C96" s="43" t="n">
        <x:v>4</x:v>
      </x:c>
      <x:c r="D96" s="43" t="str">
        <x:v>Does it document failures and reasons for failure?</x:v>
      </x:c>
      <x:c r="E96" s="43" t="str">
        <x:v>Failure Learning</x:v>
      </x:c>
      <x:c r="F96" s="43" t="str"/>
      <x:c r="G96" s="43" t="str"/>
      <x:c r="H96" s="43" t="str"/>
      <x:c r="I96" s="43" t="str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3" t="str">
        <x:v>L</x:v>
      </x:c>
      <x:c r="B97" s="43" t="str">
        <x:v>Evidence, Learning &amp; Replication</x:v>
      </x:c>
      <x:c r="C97" s="43" t="n">
        <x:v>5</x:v>
      </x:c>
      <x:c r="D97" s="43" t="str">
        <x:v>Does it create evidence useful for funders, policy or public goods?</x:v>
      </x:c>
      <x:c r="E97" s="43" t="str">
        <x:v>Public Goods Evidence</x:v>
      </x:c>
      <x:c r="F97" s="43" t="str"/>
      <x:c r="G97" s="43" t="str"/>
      <x:c r="H97" s="43" t="str"/>
      <x:c r="I97" s="43" t="str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3" t="str">
        <x:v>L</x:v>
      </x:c>
      <x:c r="B98" s="43" t="str">
        <x:v>Evidence, Learning &amp; Replication</x:v>
      </x:c>
      <x:c r="C98" s="43" t="n">
        <x:v>6</x:v>
      </x:c>
      <x:c r="D98" s="43" t="str">
        <x:v>Does it maintain playbooks, case studies or replication notes?</x:v>
      </x:c>
      <x:c r="E98" s="43" t="str">
        <x:v>Playbooks</x:v>
      </x:c>
      <x:c r="F98" s="43" t="str"/>
      <x:c r="G98" s="43" t="str"/>
      <x:c r="H98" s="43" t="str"/>
      <x:c r="I98" s="43" t="str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3" t="str">
        <x:v>L</x:v>
      </x:c>
      <x:c r="B99" s="43" t="str">
        <x:v>Evidence, Learning &amp; Replication</x:v>
      </x:c>
      <x:c r="C99" s="43" t="n">
        <x:v>7</x:v>
      </x:c>
      <x:c r="D99" s="43" t="str">
        <x:v>Does it use feedback from communities and entrepreneurs to improve design?</x:v>
      </x:c>
      <x:c r="E99" s="43" t="str">
        <x:v>Feedback Loop</x:v>
      </x:c>
      <x:c r="F99" s="43" t="str"/>
      <x:c r="G99" s="43" t="str"/>
      <x:c r="H99" s="43" t="str"/>
      <x:c r="I99" s="43" t="str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3" t="str">
        <x:v>L</x:v>
      </x:c>
      <x:c r="B100" s="43" t="str">
        <x:v>Evidence, Learning &amp; Replication</x:v>
      </x:c>
      <x:c r="C100" s="43" t="n">
        <x:v>8</x:v>
      </x:c>
      <x:c r="D100" s="43" t="str">
        <x:v>Can its work be replicated across nearby geographies without losing place sensitivity?</x:v>
      </x:c>
      <x:c r="E100" s="43" t="str">
        <x:v>Place-sensitive Replication</x:v>
      </x:c>
      <x:c r="F100" s="43" t="str"/>
      <x:c r="G100" s="43" t="str"/>
      <x:c r="H100" s="43" t="str"/>
      <x:c r="I100" s="43" t="str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3" t="str">
        <x:v>M</x:v>
      </x:c>
      <x:c r="B101" s="43" t="str">
        <x:v>Collaboration Fit with Rainmatter / GRE / GramEEE-type Ecosystem</x:v>
      </x:c>
      <x:c r="C101" s="43" t="n">
        <x:v>1</x:v>
      </x:c>
      <x:c r="D101" s="43" t="str">
        <x:v>Is the organisation open to sharing knowledge, methods and service-provider information?</x:v>
      </x:c>
      <x:c r="E101" s="43" t="str">
        <x:v>Knowledge Sharing</x:v>
      </x:c>
      <x:c r="F101" s="43" t="str"/>
      <x:c r="G101" s="43" t="str"/>
      <x:c r="H101" s="43" t="str"/>
      <x:c r="I101" s="43" t="str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3" t="str">
        <x:v>M</x:v>
      </x:c>
      <x:c r="B102" s="43" t="str">
        <x:v>Collaboration Fit with Rainmatter / GRE / GramEEE-type Ecosystem</x:v>
      </x:c>
      <x:c r="C102" s="43" t="n">
        <x:v>2</x:v>
      </x:c>
      <x:c r="D102" s="43" t="str">
        <x:v>Can it contribute to solution discovery for local production economies?</x:v>
      </x:c>
      <x:c r="E102" s="43" t="str">
        <x:v>Solution Discovery</x:v>
      </x:c>
      <x:c r="F102" s="43" t="str"/>
      <x:c r="G102" s="43" t="str"/>
      <x:c r="H102" s="43" t="str"/>
      <x:c r="I102" s="43" t="str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3" t="str">
        <x:v>M</x:v>
      </x:c>
      <x:c r="B103" s="43" t="str">
        <x:v>Collaboration Fit with Rainmatter / GRE / GramEEE-type Ecosystem</x:v>
      </x:c>
      <x:c r="C103" s="43" t="n">
        <x:v>3</x:v>
      </x:c>
      <x:c r="D103" s="43" t="str">
        <x:v>Can it help identify ground needs from communities and convert them into structured demand?</x:v>
      </x:c>
      <x:c r="E103" s="43" t="str">
        <x:v>Demand Curation</x:v>
      </x:c>
      <x:c r="F103" s="43" t="str"/>
      <x:c r="G103" s="43" t="str"/>
      <x:c r="H103" s="43" t="str"/>
      <x:c r="I103" s="43" t="str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3" t="str">
        <x:v>M</x:v>
      </x:c>
      <x:c r="B104" s="43" t="str">
        <x:v>Collaboration Fit with Rainmatter / GRE / GramEEE-type Ecosystem</x:v>
      </x:c>
      <x:c r="C104" s="43" t="n">
        <x:v>4</x:v>
      </x:c>
      <x:c r="D104" s="43" t="str">
        <x:v>Can it host or support pilots in 2–3 places?</x:v>
      </x:c>
      <x:c r="E104" s="43" t="str">
        <x:v>Pilots</x:v>
      </x:c>
      <x:c r="F104" s="43" t="str"/>
      <x:c r="G104" s="43" t="str"/>
      <x:c r="H104" s="43" t="str"/>
      <x:c r="I104" s="43" t="str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3" t="str">
        <x:v>M</x:v>
      </x:c>
      <x:c r="B105" s="43" t="str">
        <x:v>Collaboration Fit with Rainmatter / GRE / GramEEE-type Ecosystem</x:v>
      </x:c>
      <x:c r="C105" s="43" t="n">
        <x:v>5</x:v>
      </x:c>
      <x:c r="D105" s="43" t="str">
        <x:v>Can it onboard local trainers, entrepreneurs, vendors or service providers?</x:v>
      </x:c>
      <x:c r="E105" s="43" t="str">
        <x:v>Onboarding</x:v>
      </x:c>
      <x:c r="F105" s="43" t="str"/>
      <x:c r="G105" s="43" t="str"/>
      <x:c r="H105" s="43" t="str"/>
      <x:c r="I105" s="43" t="str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3" t="str">
        <x:v>M</x:v>
      </x:c>
      <x:c r="B106" s="43" t="str">
        <x:v>Collaboration Fit with Rainmatter / GRE / GramEEE-type Ecosystem</x:v>
      </x:c>
      <x:c r="C106" s="43" t="n">
        <x:v>6</x:v>
      </x:c>
      <x:c r="D106" s="43" t="str">
        <x:v>Can it help build 6M depth for priority products or value chains?</x:v>
      </x:c>
      <x:c r="E106" s="43" t="str">
        <x:v>6M Depth</x:v>
      </x:c>
      <x:c r="F106" s="43" t="str"/>
      <x:c r="G106" s="43" t="str"/>
      <x:c r="H106" s="43" t="str"/>
      <x:c r="I106" s="43" t="str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3" t="str">
        <x:v>M</x:v>
      </x:c>
      <x:c r="B107" s="43" t="str">
        <x:v>Collaboration Fit with Rainmatter / GRE / GramEEE-type Ecosystem</x:v>
      </x:c>
      <x:c r="C107" s="43" t="n">
        <x:v>7</x:v>
      </x:c>
      <x:c r="D107" s="43" t="str">
        <x:v>Can it support translation, localisation and community-facing communication?</x:v>
      </x:c>
      <x:c r="E107" s="43" t="str">
        <x:v>Localisation</x:v>
      </x:c>
      <x:c r="F107" s="43" t="str"/>
      <x:c r="G107" s="43" t="str"/>
      <x:c r="H107" s="43" t="str"/>
      <x:c r="I107" s="43" t="str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3" t="str">
        <x:v>M</x:v>
      </x:c>
      <x:c r="B108" s="43" t="str">
        <x:v>Collaboration Fit with Rainmatter / GRE / GramEEE-type Ecosystem</x:v>
      </x:c>
      <x:c r="C108" s="43" t="n">
        <x:v>8</x:v>
      </x:c>
      <x:c r="D108" s="43" t="str">
        <x:v>Can it participate in a network where multiple partners solve different parts of the enterprise stack?</x:v>
      </x:c>
      <x:c r="E108" s="43" t="str">
        <x:v>Network Participation</x:v>
      </x:c>
      <x:c r="F108" s="43" t="str"/>
      <x:c r="G108" s="43" t="str"/>
      <x:c r="H108" s="43" t="str"/>
      <x:c r="I108" s="43" t="str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conditionalFormatting sqref="F2:F10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type="list" sqref="F2:F108">
      <x:formula1>Lists!$A$2:$A$6</x:formula1>
    </x:dataValidation>
    <x:dataValidation type="list" sqref="I2:I108">
      <x:formula1>Lists!$B$2:$B$6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b84e75185b44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7" max="7" width="20" hidden="0" customWidth="1"/>
  </x:cols>
  <x:sheetData>
    <x:row r="1" ht="28" customHeight="1">
      <x:c r="A1" s="40" t="str">
        <x:v>Scoring Dashboard</x:v>
      </x:c>
      <x:c r="B1" s="60"/>
      <x:c r="C1" s="60"/>
      <x:c r="D1" s="60"/>
      <x:c r="E1" s="60"/>
      <x:c r="F1" s="60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28" customHeight="1">
      <x:c r="A3" s="48" t="str">
        <x:v>Organisation</x:v>
      </x:c>
      <x:c r="B3" s="41" t="str">
        <x:f>IF(Partner_Profile!B3="","",Partner_Profile!B3)</x:f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8" t="str">
        <x:v>Assessment Date</x:v>
      </x:c>
      <x:c r="B4" s="58" t="n">
        <x:f>IF(Partner_Profile!B4="","",Partner_Profile!B4)</x:f>
        <x:v>46201.52898185185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8" t="str">
        <x:v>Overall Score</x:v>
      </x:c>
      <x:c r="B5" s="52" t="n">
        <x:f>SUM(Checklist!F2:F108)</x:f>
        <x:v>0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8" t="str">
        <x:v>Maximum Score</x:v>
      </x:c>
      <x:c r="B6" s="52" t="n">
        <x:f>COUNTA(Checklist!D2:D108)*4</x:f>
        <x:v>428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8" t="str">
        <x:v>Overall %</x:v>
      </x:c>
      <x:c r="B7" s="53" t="n">
        <x:f>IFERROR(B5/B6,0)</x:f>
        <x:v>0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8" t="str">
        <x:v>Interpretation</x:v>
      </x:c>
      <x:c r="B8" s="41" t="str">
        <x:f>IFS(B7&lt;0.31,"Weak alignment",B7&lt;0.51,"Emerging alignment",B7&lt;0.71,"Moderate alignment",B7&lt;0.86,"Strong alignment",TRUE,"Very high alignment")</x:f>
        <x:v>Weak alignment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2" t="str">
        <x:v>Code</x:v>
      </x:c>
      <x:c r="B11" s="42" t="str">
        <x:v>Section</x:v>
      </x:c>
      <x:c r="C11" s="42" t="str">
        <x:v>Actual Score</x:v>
      </x:c>
      <x:c r="D11" s="42" t="str">
        <x:v>Max Score</x:v>
      </x:c>
      <x:c r="E11" s="42" t="str">
        <x:v>%</x:v>
      </x:c>
      <x:c r="F11" s="42" t="str">
        <x:v>Interpretation</x:v>
      </x:c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>
        <x:v>A</x:v>
      </x:c>
      <x:c r="B12" s="43" t="str">
        <x:v>Place Ownership &amp; Local Economy Orientation</x:v>
      </x:c>
      <x:c r="C12" s="43" t="n">
        <x:f>SUMIF(Checklist!$A$2:$A$108,A12,Checklist!$F$2:$F$108)</x:f>
        <x:v>0</x:v>
      </x:c>
      <x:c r="D12" s="43" t="n">
        <x:f>COUNTIF(Checklist!$A$2:$A$108,A12)*4</x:f>
        <x:v>32</x:v>
      </x:c>
      <x:c r="E12" s="54" t="n">
        <x:f>IFERROR(C12/D12,0)</x:f>
        <x:v>0</x:v>
      </x:c>
      <x:c r="F12" s="43" t="str">
        <x:f>IFS(E12&lt;0.31,"Weak",E12&lt;0.51,"Emerging",E12&lt;0.71,"Moderate",E12&lt;0.86,"Strong",TRUE,"Very High")</x:f>
        <x:v>Weak</x:v>
      </x:c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>
        <x:v>B</x:v>
      </x:c>
      <x:c r="B13" s="43" t="str">
        <x:v>Ecology Alignment</x:v>
      </x:c>
      <x:c r="C13" s="43" t="n">
        <x:f>SUMIF(Checklist!$A$2:$A$108,A13,Checklist!$F$2:$F$108)</x:f>
        <x:v>0</x:v>
      </x:c>
      <x:c r="D13" s="43" t="n">
        <x:f>COUNTIF(Checklist!$A$2:$A$108,A13)*4</x:f>
        <x:v>32</x:v>
      </x:c>
      <x:c r="E13" s="54" t="n">
        <x:f>IFERROR(C13/D13,0)</x:f>
        <x:v>0</x:v>
      </x:c>
      <x:c r="F13" s="43" t="str">
        <x:f>IFS(E13&lt;0.31,"Weak",E13&lt;0.51,"Emerging",E13&lt;0.71,"Moderate",E13&lt;0.86,"Strong",TRUE,"Very High")</x:f>
        <x:v>Weak</x:v>
      </x:c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>
        <x:v>C</x:v>
      </x:c>
      <x:c r="B14" s="43" t="str">
        <x:v>Community Ownership &amp; Governance</x:v>
      </x:c>
      <x:c r="C14" s="43" t="n">
        <x:f>SUMIF(Checklist!$A$2:$A$108,A14,Checklist!$F$2:$F$108)</x:f>
        <x:v>0</x:v>
      </x:c>
      <x:c r="D14" s="43" t="n">
        <x:f>COUNTIF(Checklist!$A$2:$A$108,A14)*4</x:f>
        <x:v>32</x:v>
      </x:c>
      <x:c r="E14" s="54" t="n">
        <x:f>IFERROR(C14/D14,0)</x:f>
        <x:v>0</x:v>
      </x:c>
      <x:c r="F14" s="43" t="str">
        <x:f>IFS(E14&lt;0.31,"Weak",E14&lt;0.51,"Emerging",E14&lt;0.71,"Moderate",E14&lt;0.86,"Strong",TRUE,"Very High")</x:f>
        <x:v>Weak</x:v>
      </x:c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>
        <x:v>D</x:v>
      </x:c>
      <x:c r="B15" s="43" t="str">
        <x:v>Enterprise Creation Pathway</x:v>
      </x:c>
      <x:c r="C15" s="43" t="n">
        <x:f>SUMIF(Checklist!$A$2:$A$108,A15,Checklist!$F$2:$F$108)</x:f>
        <x:v>0</x:v>
      </x:c>
      <x:c r="D15" s="43" t="n">
        <x:f>COUNTIF(Checklist!$A$2:$A$108,A15)*4</x:f>
        <x:v>32</x:v>
      </x:c>
      <x:c r="E15" s="54" t="n">
        <x:f>IFERROR(C15/D15,0)</x:f>
        <x:v>0</x:v>
      </x:c>
      <x:c r="F15" s="43" t="str">
        <x:f>IFS(E15&lt;0.31,"Weak",E15&lt;0.51,"Emerging",E15&lt;0.71,"Moderate",E15&lt;0.86,"Strong",TRUE,"Very High")</x:f>
        <x:v>Weak</x:v>
      </x:c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>
        <x:v>E</x:v>
      </x:c>
      <x:c r="B16" s="43" t="str">
        <x:v>6M Enterprise Readiness</x:v>
      </x:c>
      <x:c r="C16" s="43" t="n">
        <x:f>SUMIF(Checklist!$A$2:$A$108,A16,Checklist!$F$2:$F$108)</x:f>
        <x:v>0</x:v>
      </x:c>
      <x:c r="D16" s="43" t="n">
        <x:f>COUNTIF(Checklist!$A$2:$A$108,A16)*4</x:f>
        <x:v>48</x:v>
      </x:c>
      <x:c r="E16" s="54" t="n">
        <x:f>IFERROR(C16/D16,0)</x:f>
        <x:v>0</x:v>
      </x:c>
      <x:c r="F16" s="43" t="str">
        <x:f>IFS(E16&lt;0.31,"Weak",E16&lt;0.51,"Emerging",E16&lt;0.71,"Moderate",E16&lt;0.86,"Strong",TRUE,"Very High")</x:f>
        <x:v>Weak</x:v>
      </x:c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>
        <x:v>F</x:v>
      </x:c>
      <x:c r="B17" s="43" t="str">
        <x:v>Local Production Economy Potential</x:v>
      </x:c>
      <x:c r="C17" s="43" t="n">
        <x:f>SUMIF(Checklist!$A$2:$A$108,A17,Checklist!$F$2:$F$108)</x:f>
        <x:v>0</x:v>
      </x:c>
      <x:c r="D17" s="43" t="n">
        <x:f>COUNTIF(Checklist!$A$2:$A$108,A17)*4</x:f>
        <x:v>32</x:v>
      </x:c>
      <x:c r="E17" s="54" t="n">
        <x:f>IFERROR(C17/D17,0)</x:f>
        <x:v>0</x:v>
      </x:c>
      <x:c r="F17" s="43" t="str">
        <x:f>IFS(E17&lt;0.31,"Weak",E17&lt;0.51,"Emerging",E17&lt;0.71,"Moderate",E17&lt;0.86,"Strong",TRUE,"Very High")</x:f>
        <x:v>Weak</x:v>
      </x:c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>
        <x:v>G</x:v>
      </x:c>
      <x:c r="B18" s="43" t="str">
        <x:v>Existing Local Ecosystem &amp; Informal Support Systems</x:v>
      </x:c>
      <x:c r="C18" s="43" t="n">
        <x:f>SUMIF(Checklist!$A$2:$A$108,A18,Checklist!$F$2:$F$108)</x:f>
        <x:v>0</x:v>
      </x:c>
      <x:c r="D18" s="43" t="n">
        <x:f>COUNTIF(Checklist!$A$2:$A$108,A18)*4</x:f>
        <x:v>32</x:v>
      </x:c>
      <x:c r="E18" s="54" t="n">
        <x:f>IFERROR(C18/D18,0)</x:f>
        <x:v>0</x:v>
      </x:c>
      <x:c r="F18" s="43" t="str">
        <x:f>IFS(E18&lt;0.31,"Weak",E18&lt;0.51,"Emerging",E18&lt;0.71,"Moderate",E18&lt;0.86,"Strong",TRUE,"Very High")</x:f>
        <x:v>Weak</x:v>
      </x:c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>
        <x:v>H</x:v>
      </x:c>
      <x:c r="B19" s="43" t="str">
        <x:v>Nine Platform Components Readiness</x:v>
      </x:c>
      <x:c r="C19" s="43" t="n">
        <x:f>SUMIF(Checklist!$A$2:$A$108,A19,Checklist!$F$2:$F$108)</x:f>
        <x:v>0</x:v>
      </x:c>
      <x:c r="D19" s="43" t="n">
        <x:f>COUNTIF(Checklist!$A$2:$A$108,A19)*4</x:f>
        <x:v>36</x:v>
      </x:c>
      <x:c r="E19" s="54" t="n">
        <x:f>IFERROR(C19/D19,0)</x:f>
        <x:v>0</x:v>
      </x:c>
      <x:c r="F19" s="43" t="str">
        <x:f>IFS(E19&lt;0.31,"Weak",E19&lt;0.51,"Emerging",E19&lt;0.71,"Moderate",E19&lt;0.86,"Strong",TRUE,"Very High")</x:f>
        <x:v>Weak</x:v>
      </x:c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 t="str">
        <x:v>I</x:v>
      </x:c>
      <x:c r="B20" s="43" t="str">
        <x:v>POESI Architecture Fit</x:v>
      </x:c>
      <x:c r="C20" s="43" t="n">
        <x:f>SUMIF(Checklist!$A$2:$A$108,A20,Checklist!$F$2:$F$108)</x:f>
        <x:v>0</x:v>
      </x:c>
      <x:c r="D20" s="43" t="n">
        <x:f>COUNTIF(Checklist!$A$2:$A$108,A20)*4</x:f>
        <x:v>24</x:v>
      </x:c>
      <x:c r="E20" s="54" t="n">
        <x:f>IFERROR(C20/D20,0)</x:f>
        <x:v>0</x:v>
      </x:c>
      <x:c r="F20" s="43" t="str">
        <x:f>IFS(E20&lt;0.31,"Weak",E20&lt;0.51,"Emerging",E20&lt;0.71,"Moderate",E20&lt;0.86,"Strong",TRUE,"Very High")</x:f>
        <x:v>Weak</x:v>
      </x:c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 t="str">
        <x:v>J</x:v>
      </x:c>
      <x:c r="B21" s="43" t="str">
        <x:v>Market, Finance &amp; Sustainability</x:v>
      </x:c>
      <x:c r="C21" s="43" t="n">
        <x:f>SUMIF(Checklist!$A$2:$A$108,A21,Checklist!$F$2:$F$108)</x:f>
        <x:v>0</x:v>
      </x:c>
      <x:c r="D21" s="43" t="n">
        <x:f>COUNTIF(Checklist!$A$2:$A$108,A21)*4</x:f>
        <x:v>32</x:v>
      </x:c>
      <x:c r="E21" s="54" t="n">
        <x:f>IFERROR(C21/D21,0)</x:f>
        <x:v>0</x:v>
      </x:c>
      <x:c r="F21" s="43" t="str">
        <x:f>IFS(E21&lt;0.31,"Weak",E21&lt;0.51,"Emerging",E21&lt;0.71,"Moderate",E21&lt;0.86,"Strong",TRUE,"Very High")</x:f>
        <x:v>Weak</x:v>
      </x:c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 t="str">
        <x:v>K</x:v>
      </x:c>
      <x:c r="B22" s="43" t="str">
        <x:v>Platformisation &amp; Servicification Readiness</x:v>
      </x:c>
      <x:c r="C22" s="43" t="n">
        <x:f>SUMIF(Checklist!$A$2:$A$108,A22,Checklist!$F$2:$F$108)</x:f>
        <x:v>0</x:v>
      </x:c>
      <x:c r="D22" s="43" t="n">
        <x:f>COUNTIF(Checklist!$A$2:$A$108,A22)*4</x:f>
        <x:v>32</x:v>
      </x:c>
      <x:c r="E22" s="54" t="n">
        <x:f>IFERROR(C22/D22,0)</x:f>
        <x:v>0</x:v>
      </x:c>
      <x:c r="F22" s="43" t="str">
        <x:f>IFS(E22&lt;0.31,"Weak",E22&lt;0.51,"Emerging",E22&lt;0.71,"Moderate",E22&lt;0.86,"Strong",TRUE,"Very High")</x:f>
        <x:v>Weak</x:v>
      </x:c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 t="str">
        <x:v>L</x:v>
      </x:c>
      <x:c r="B23" s="43" t="str">
        <x:v>Evidence, Learning &amp; Replication</x:v>
      </x:c>
      <x:c r="C23" s="43" t="n">
        <x:f>SUMIF(Checklist!$A$2:$A$108,A23,Checklist!$F$2:$F$108)</x:f>
        <x:v>0</x:v>
      </x:c>
      <x:c r="D23" s="43" t="n">
        <x:f>COUNTIF(Checklist!$A$2:$A$108,A23)*4</x:f>
        <x:v>32</x:v>
      </x:c>
      <x:c r="E23" s="54" t="n">
        <x:f>IFERROR(C23/D23,0)</x:f>
        <x:v>0</x:v>
      </x:c>
      <x:c r="F23" s="43" t="str">
        <x:f>IFS(E23&lt;0.31,"Weak",E23&lt;0.51,"Emerging",E23&lt;0.71,"Moderate",E23&lt;0.86,"Strong",TRUE,"Very High")</x:f>
        <x:v>Weak</x:v>
      </x:c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 t="str">
        <x:v>M</x:v>
      </x:c>
      <x:c r="B24" s="43" t="str">
        <x:v>Collaboration Fit</x:v>
      </x:c>
      <x:c r="C24" s="43" t="n">
        <x:f>SUMIF(Checklist!$A$2:$A$108,A24,Checklist!$F$2:$F$108)</x:f>
        <x:v>0</x:v>
      </x:c>
      <x:c r="D24" s="43" t="n">
        <x:f>COUNTIF(Checklist!$A$2:$A$108,A24)*4</x:f>
        <x:v>32</x:v>
      </x:c>
      <x:c r="E24" s="54" t="n">
        <x:f>IFERROR(C24/D24,0)</x:f>
        <x:v>0</x:v>
      </x:c>
      <x:c r="F24" s="43" t="str">
        <x:f>IFS(E24&lt;0.31,"Weak",E24&lt;0.51,"Emerging",E24&lt;0.71,"Moderate",E24&lt;0.86,"Strong",TRUE,"Very High")</x:f>
        <x:v>Weak</x:v>
      </x:c>
      <x:c r="G24" s="41"/>
      <x:c r="H24" s="13" t="str">
        <x:v>How to Read the Dashboard</x:v>
      </x:c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3" t="str">
        <x:v>Low-scoring sections show gaps in thesis alignment. Use Evidence_Log to record the proof behind each score. Use Partner_Typology to classify the organisation’s role and Pilot_Journey to convert the assessment into a place-based local production pilot.</x:v>
      </x:c>
      <x:c r="I25" s="43"/>
      <x:c r="J25" s="43"/>
      <x:c r="K25" s="43"/>
      <x:c r="L25" s="43"/>
      <x:c r="M25" s="43"/>
      <x:c r="N25" s="43"/>
      <x:c r="O25" s="43"/>
      <x:c r="P25" s="43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3"/>
      <x:c r="I26" s="43"/>
      <x:c r="J26" s="43"/>
      <x:c r="K26" s="43"/>
      <x:c r="L26" s="43"/>
      <x:c r="M26" s="43"/>
      <x:c r="N26" s="43"/>
      <x:c r="O26" s="43"/>
      <x:c r="P26" s="43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3"/>
      <x:c r="I27" s="43"/>
      <x:c r="J27" s="43"/>
      <x:c r="K27" s="43"/>
      <x:c r="L27" s="43"/>
      <x:c r="M27" s="43"/>
      <x:c r="N27" s="43"/>
      <x:c r="O27" s="43"/>
      <x:c r="P27" s="43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2" t="str">
        <x:v>Gap / Priority View</x:v>
      </x:c>
      <x:c r="B28" s="41" t="str"/>
      <x:c r="C28" s="41" t="str"/>
      <x:c r="D28" s="41"/>
      <x:c r="E28" s="41"/>
      <x:c r="F28" s="41"/>
      <x:c r="G28" s="41"/>
      <x:c r="H28" s="43"/>
      <x:c r="I28" s="43"/>
      <x:c r="J28" s="43"/>
      <x:c r="K28" s="43"/>
      <x:c r="L28" s="43"/>
      <x:c r="M28" s="43"/>
      <x:c r="N28" s="43"/>
      <x:c r="O28" s="43"/>
      <x:c r="P28" s="43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2" t="str">
        <x:v>Metric</x:v>
      </x:c>
      <x:c r="B29" s="42" t="str">
        <x:v>Formula / Output</x:v>
      </x:c>
      <x:c r="C29" s="42" t="str">
        <x:v>Use</x:v>
      </x:c>
      <x:c r="D29" s="41"/>
      <x:c r="E29" s="41"/>
      <x:c r="F29" s="41"/>
      <x:c r="G29" s="41"/>
      <x:c r="H29" s="43"/>
      <x:c r="I29" s="43"/>
      <x:c r="J29" s="43"/>
      <x:c r="K29" s="43"/>
      <x:c r="L29" s="43"/>
      <x:c r="M29" s="43"/>
      <x:c r="N29" s="43"/>
      <x:c r="O29" s="43"/>
      <x:c r="P29" s="43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3" t="str">
        <x:v>Lowest Section %</x:v>
      </x:c>
      <x:c r="B30" s="43" t="str">
        <x:f>INDEX(B12:B24,MATCH(MIN(E12:E24),E12:E24,0))</x:f>
        <x:v>Place Ownership &amp; Local Economy Orientation</x:v>
      </x:c>
      <x:c r="C30" s="43" t="str">
        <x:v>Start strengthening here</x:v>
      </x:c>
      <x:c r="D30" s="41"/>
      <x:c r="E30" s="41"/>
      <x:c r="F30" s="41"/>
      <x:c r="G30" s="41"/>
      <x:c r="H30" s="43"/>
      <x:c r="I30" s="43"/>
      <x:c r="J30" s="43"/>
      <x:c r="K30" s="43"/>
      <x:c r="L30" s="43"/>
      <x:c r="M30" s="43"/>
      <x:c r="N30" s="43"/>
      <x:c r="O30" s="43"/>
      <x:c r="P30" s="43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3" t="str">
        <x:v>Highest Section %</x:v>
      </x:c>
      <x:c r="B31" s="43" t="str">
        <x:f>INDEX(B12:B24,MATCH(MAX(E12:E24),E12:E24,0))</x:f>
        <x:v>Place Ownership &amp; Local Economy Orientation</x:v>
      </x:c>
      <x:c r="C31" s="43" t="str">
        <x:v>Potential anchor strength</x:v>
      </x:c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3" t="str">
        <x:v>High Priority Rows</x:v>
      </x:c>
      <x:c r="B32" s="43" t="n">
        <x:f>COUNTIF(Checklist!I2:I108,"High")</x:f>
        <x:v>0</x:v>
      </x:c>
      <x:c r="C32" s="43" t="str">
        <x:v>Rows requiring immediate support</x:v>
      </x:c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3" t="str">
        <x:v>Unscored Rows</x:v>
      </x:c>
      <x:c r="B33" s="43" t="n">
        <x:f>COUNTBLANK(Checklist!F2:F108)</x:f>
        <x:v>107</x:v>
      </x:c>
      <x:c r="C33" s="43" t="str">
        <x:v>Complete these before final interpretation</x:v>
      </x:c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H1"/>
    <x:mergeCell ref="A28:C28"/>
    <x:mergeCell ref="H24:P24"/>
    <x:mergeCell ref="H25:P30"/>
  </x:mergeCells>
  <x:conditionalFormatting sqref="E12:E2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0ec54685313e4da8"/>
  <x:tableParts count="1">
    <x:tablePart xmlns:r="http://schemas.openxmlformats.org/officeDocument/2006/relationships" r:id="R71eb7e9565024e0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6" hidden="0" customWidth="1"/>
    <x:col min="4" max="4" width="16" hidden="0" customWidth="1"/>
    <x:col min="5" max="5" width="30" hidden="0" customWidth="1"/>
    <x:col min="6" max="6" width="22" hidden="0" customWidth="1"/>
    <x:col min="7" max="7" width="32" hidden="0" customWidth="1"/>
    <x:col min="8" max="8" width="16" hidden="0" customWidth="1"/>
  </x:cols>
  <x:sheetData>
    <x:row r="1" ht="28" customHeight="1">
      <x:c r="A1" s="40" t="str">
        <x:v>Partner Typology &amp; Ecosystem Role Classification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28" customHeight="1">
      <x:c r="A3" s="42" t="str">
        <x:v>Partner Type</x:v>
      </x:c>
      <x:c r="B3" s="42" t="str">
        <x:v>Description</x:v>
      </x:c>
      <x:c r="C3" s="42" t="str">
        <x:v>Best Role in Thesis Journey</x:v>
      </x:c>
      <x:c r="D3" s="42" t="str">
        <x:v>Current Fit Score 0–4</x:v>
      </x:c>
      <x:c r="E3" s="42" t="str">
        <x:v>Evidence</x:v>
      </x:c>
      <x:c r="F3" s="42" t="str">
        <x:v>Likely POESI Layer</x:v>
      </x:c>
      <x:c r="G3" s="42" t="str">
        <x:v>Recommended Engagement</x:v>
      </x:c>
      <x:c r="H3" s="42" t="str">
        <x:v>Priority</x:v>
      </x:c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Place Anchor</x:v>
      </x:c>
      <x:c r="B4" s="43" t="str">
        <x:v>Deeply rooted in a geography with strong community trust</x:v>
      </x:c>
      <x:c r="C4" s="43" t="str">
        <x:v>Host pilots, sense needs, identify owners</x:v>
      </x:c>
      <x:c r="D4" s="43" t="str"/>
      <x:c r="E4" s="43" t="str"/>
      <x:c r="F4" s="43" t="str">
        <x:v>Place / Owners</x:v>
      </x:c>
      <x:c r="G4" s="43" t="str"/>
      <x:c r="H4" s="43" t="str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Community Mobiliser</x:v>
      </x:c>
      <x:c r="B5" s="43" t="str">
        <x:v>Strong with SHGs, FPOs, youth or panchayats</x:v>
      </x:c>
      <x:c r="C5" s="43" t="str">
        <x:v>Build ownership and governance</x:v>
      </x:c>
      <x:c r="D5" s="43" t="str"/>
      <x:c r="E5" s="43" t="str"/>
      <x:c r="F5" s="43" t="str">
        <x:v>Owners</x:v>
      </x:c>
      <x:c r="G5" s="43" t="str"/>
      <x:c r="H5" s="43" t="str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Production / Technical Partner</x:v>
      </x:c>
      <x:c r="B6" s="43" t="str">
        <x:v>Has product, process, machine or value-chain expertise</x:v>
      </x:c>
      <x:c r="C6" s="43" t="str">
        <x:v>Build 6M solution depth</x:v>
      </x:c>
      <x:c r="D6" s="43" t="str"/>
      <x:c r="E6" s="43" t="str"/>
      <x:c r="F6" s="43" t="str">
        <x:v>Solutions</x:v>
      </x:c>
      <x:c r="G6" s="43" t="str"/>
      <x:c r="H6" s="43" t="str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>
        <x:v>Market Partner</x:v>
      </x:c>
      <x:c r="B7" s="43" t="str">
        <x:v>Strong buyer, trader, aggregation or B2B linkage</x:v>
      </x:c>
      <x:c r="C7" s="43" t="str">
        <x:v>Build market pathways</x:v>
      </x:c>
      <x:c r="D7" s="43" t="str"/>
      <x:c r="E7" s="43" t="str"/>
      <x:c r="F7" s="43" t="str">
        <x:v>Enablers / Market</x:v>
      </x:c>
      <x:c r="G7" s="43" t="str"/>
      <x:c r="H7" s="43" t="str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>
        <x:v>Skill &amp; Training Partner</x:v>
      </x:c>
      <x:c r="B8" s="43" t="str">
        <x:v>Can deliver structured skill building and incubation</x:v>
      </x:c>
      <x:c r="C8" s="43" t="str">
        <x:v>Build manpower and enterprise capacity</x:v>
      </x:c>
      <x:c r="D8" s="43" t="str"/>
      <x:c r="E8" s="43" t="str"/>
      <x:c r="F8" s="43" t="str">
        <x:v>Enablers</x:v>
      </x:c>
      <x:c r="G8" s="43" t="str"/>
      <x:c r="H8" s="43" t="str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>
        <x:v>Finance / Scheme Partner</x:v>
      </x:c>
      <x:c r="B9" s="43" t="str">
        <x:v>Can unlock grants, loans, public schemes or blended finance</x:v>
      </x:c>
      <x:c r="C9" s="43" t="str">
        <x:v>Solve money bottlenecks</x:v>
      </x:c>
      <x:c r="D9" s="43" t="str"/>
      <x:c r="E9" s="43" t="str"/>
      <x:c r="F9" s="43" t="str">
        <x:v>Infrastructure / Money</x:v>
      </x:c>
      <x:c r="G9" s="43" t="str"/>
      <x:c r="H9" s="43" t="str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>
        <x:v>Platform / Knowledge Partner</x:v>
      </x:c>
      <x:c r="B10" s="43" t="str">
        <x:v>Can document, digitise, organise and make knowledge discoverable</x:v>
      </x:c>
      <x:c r="C10" s="43" t="str">
        <x:v>Build shared infrastructure</x:v>
      </x:c>
      <x:c r="D10" s="43" t="str"/>
      <x:c r="E10" s="43" t="str"/>
      <x:c r="F10" s="43" t="str">
        <x:v>Infrastructure</x:v>
      </x:c>
      <x:c r="G10" s="43" t="str"/>
      <x:c r="H10" s="43" t="str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>
        <x:v>Replication Partner</x:v>
      </x:c>
      <x:c r="B11" s="43" t="str">
        <x:v>Can take proven models across regions</x:v>
      </x:c>
      <x:c r="C11" s="43" t="str">
        <x:v>Scale with local adaptation</x:v>
      </x:c>
      <x:c r="D11" s="43" t="str"/>
      <x:c r="E11" s="43" t="str"/>
      <x:c r="F11" s="43" t="str">
        <x:v>Infrastructure / Enablers</x:v>
      </x:c>
      <x:c r="G11" s="43" t="str"/>
      <x:c r="H11" s="43" t="str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H1"/>
  </x:mergeCells>
  <x:conditionalFormatting sqref="D4:D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type="list" sqref="D4:D11">
      <x:formula1>Lists!$A$2:$A$6</x:formula1>
    </x:dataValidation>
    <x:dataValidation type="list" sqref="H4:H11">
      <x:formula1>Lists!$B$2:$B$6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e71b4bf9064bb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4" hidden="0" customWidth="1"/>
    <x:col min="4" max="4" width="28" hidden="0" customWidth="1"/>
    <x:col min="5" max="5" width="36" hidden="0" customWidth="1"/>
    <x:col min="6" max="6" width="32" hidden="0" customWidth="1"/>
    <x:col min="7" max="7" width="18" hidden="0" customWidth="1"/>
    <x:col min="8" max="8" width="16" hidden="0" customWidth="1"/>
  </x:cols>
  <x:sheetData>
    <x:row r="1" ht="28" customHeight="1">
      <x:c r="A1" s="40" t="str">
        <x:v>Partner Journey: From Assessment to Local Production Pilot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28" customHeight="1">
      <x:c r="A3" s="42" t="str">
        <x:v>Stage</x:v>
      </x:c>
      <x:c r="B3" s="42" t="str">
        <x:v>Thesis Step</x:v>
      </x:c>
      <x:c r="C3" s="42" t="str">
        <x:v>What to Capture / Do</x:v>
      </x:c>
      <x:c r="D3" s="42" t="str">
        <x:v>Partner Role</x:v>
      </x:c>
      <x:c r="E3" s="42" t="str">
        <x:v>Rainmatter / Ecosystem Support Needed</x:v>
      </x:c>
      <x:c r="F3" s="42" t="str">
        <x:v>Outputs / Evidence</x:v>
      </x:c>
      <x:c r="G3" s="42" t="str">
        <x:v>Owner</x:v>
      </x:c>
      <x:c r="H3" s="42" t="str">
        <x:v>Status</x:v>
      </x:c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3" t="str">
        <x:v>1</x:v>
      </x:c>
      <x:c r="B4" s="43" t="str">
        <x:v>Diagnose Alignment</x:v>
      </x:c>
      <x:c r="C4" s="43" t="str">
        <x:v>Review dashboard gaps, POESI role, 6M strengths and local economy orientation</x:v>
      </x:c>
      <x:c r="D4" s="43" t="str"/>
      <x:c r="E4" s="43" t="str"/>
      <x:c r="F4" s="43" t="str">
        <x:v>Completed checklist and partner dossier</x:v>
      </x:c>
      <x:c r="G4" s="43" t="str"/>
      <x:c r="H4" s="43" t="str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2</x:v>
      </x:c>
      <x:c r="B5" s="43" t="str">
        <x:v>Select 2–3 Place Pilots</x:v>
      </x:c>
      <x:c r="C5" s="43" t="str">
        <x:v>Identify locations with local trust, demand, ecology fit, owners and production potential</x:v>
      </x:c>
      <x:c r="D5" s="43" t="str"/>
      <x:c r="E5" s="43" t="str"/>
      <x:c r="F5" s="43" t="str">
        <x:v>Pilot place shortlist</x:v>
      </x:c>
      <x:c r="G5" s="43" t="str"/>
      <x:c r="H5" s="43" t="str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3</x:v>
      </x:c>
      <x:c r="B6" s="43" t="str">
        <x:v>Build Local Production Opportunity Map</x:v>
      </x:c>
      <x:c r="C6" s="43" t="str">
        <x:v>Map Basket of Needs, local assets, imports, production, value-chain gaps and service actors</x:v>
      </x:c>
      <x:c r="D6" s="43" t="str"/>
      <x:c r="E6" s="43" t="str"/>
      <x:c r="F6" s="43" t="str">
        <x:v>Opportunity map / local economy map</x:v>
      </x:c>
      <x:c r="G6" s="43" t="str"/>
      <x:c r="H6" s="43" t="str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>
        <x:v>4</x:v>
      </x:c>
      <x:c r="B7" s="43" t="str">
        <x:v>Choose Priority Enterprise Loops</x:v>
      </x:c>
      <x:c r="C7" s="43" t="str">
        <x:v>Select food, inputs, repairs, services, NTFP, circular material or value-chain opportunities</x:v>
      </x:c>
      <x:c r="D7" s="43" t="str"/>
      <x:c r="E7" s="43" t="str"/>
      <x:c r="F7" s="43" t="str">
        <x:v>Priority enterprise loop list</x:v>
      </x:c>
      <x:c r="G7" s="43" t="str"/>
      <x:c r="H7" s="43" t="str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>
        <x:v>5</x:v>
      </x:c>
      <x:c r="B8" s="43" t="str">
        <x:v>Build 6M Stack</x:v>
      </x:c>
      <x:c r="C8" s="43" t="str">
        <x:v>Prepare Manpower, Machine, Material, Method, Money and Market depth for each opportunity</x:v>
      </x:c>
      <x:c r="D8" s="43" t="str"/>
      <x:c r="E8" s="43" t="str"/>
      <x:c r="F8" s="43" t="str">
        <x:v>6M deployment sheet</x:v>
      </x:c>
      <x:c r="G8" s="43" t="str"/>
      <x:c r="H8" s="43" t="str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>
        <x:v>6</x:v>
      </x:c>
      <x:c r="B9" s="43" t="str">
        <x:v>Demonstrate</x:v>
      </x:c>
      <x:c r="C9" s="43" t="str">
        <x:v>Prototype with SHGs, FPOs, youth, local entrepreneurs, panchayat or institutional buyers</x:v>
      </x:c>
      <x:c r="D9" s="43" t="str"/>
      <x:c r="E9" s="43" t="str"/>
      <x:c r="F9" s="43" t="str">
        <x:v>Demonstration report / learning log</x:v>
      </x:c>
      <x:c r="G9" s="43" t="str"/>
      <x:c r="H9" s="43" t="str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>
        <x:v>7</x:v>
      </x:c>
      <x:c r="B10" s="43" t="str">
        <x:v>Convert into Shared Infrastructure</x:v>
      </x:c>
      <x:c r="C10" s="43" t="str">
        <x:v>Document playbooks, cost sheets, vendor lists, trainer lists, buyer lists, SOPs and risk notes</x:v>
      </x:c>
      <x:c r="D10" s="43" t="str"/>
      <x:c r="E10" s="43" t="str"/>
      <x:c r="F10" s="43" t="str">
        <x:v>Reusable solution stack assets</x:v>
      </x:c>
      <x:c r="G10" s="43" t="str"/>
      <x:c r="H10" s="43" t="str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>
        <x:v>8</x:v>
      </x:c>
      <x:c r="B11" s="43" t="str">
        <x:v>Replicate with Place Sensitivity</x:v>
      </x:c>
      <x:c r="C11" s="43" t="str">
        <x:v>Select adjacent geographies and define conditions for replication without losing local fit</x:v>
      </x:c>
      <x:c r="D11" s="43" t="str"/>
      <x:c r="E11" s="43" t="str"/>
      <x:c r="F11" s="43" t="str">
        <x:v>Replication plan</x:v>
      </x:c>
      <x:c r="G11" s="43" t="str"/>
      <x:c r="H11" s="43" t="str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H1"/>
  </x:mergeCells>
  <x:dataValidations count="1">
    <x:dataValidation type="list" sqref="H4:H11">
      <x:formula1>"Not Started,In Progress,Completed,Blocked,Not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7e7f87447a424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38" hidden="0" customWidth="1"/>
    <x:col min="5" max="5" width="38" hidden="0" customWidth="1"/>
    <x:col min="6" max="6" width="26" hidden="0" customWidth="1"/>
    <x:col min="7" max="7" width="14" hidden="0" customWidth="1"/>
    <x:col min="8" max="8" width="26" hidden="0" customWidth="1"/>
    <x:col min="9" max="9" width="32" hidden="0" customWidth="1"/>
  </x:cols>
  <x:sheetData>
    <x:row r="1" ht="28" customHeight="1">
      <x:c r="A1" s="40" t="str">
        <x:v>Evidence Log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28" customHeight="1">
      <x:c r="A3" s="42" t="str">
        <x:v>Date</x:v>
      </x:c>
      <x:c r="B3" s="42" t="str">
        <x:v>Section Code</x:v>
      </x:c>
      <x:c r="C3" s="42" t="str">
        <x:v>Evidence Type</x:v>
      </x:c>
      <x:c r="D3" s="42" t="str">
        <x:v>Description</x:v>
      </x:c>
      <x:c r="E3" s="42" t="str">
        <x:v>Source / Link / File Name</x:v>
      </x:c>
      <x:c r="F3" s="42" t="str">
        <x:v>Person / Organisation</x:v>
      </x:c>
      <x:c r="G3" s="42" t="str">
        <x:v>Confidence</x:v>
      </x:c>
      <x:c r="H3" s="42" t="str">
        <x:v>Implication for Score</x:v>
      </x:c>
      <x:c r="I3" s="42" t="str">
        <x:v>Follow-up Needed</x:v>
      </x:c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9" t="str"/>
      <x:c r="B4" s="43" t="str"/>
      <x:c r="C4" s="43" t="str"/>
      <x:c r="D4" s="43" t="str"/>
      <x:c r="E4" s="43" t="str"/>
      <x:c r="F4" s="43" t="str"/>
      <x:c r="G4" s="43" t="str"/>
      <x:c r="H4" s="43" t="str"/>
      <x:c r="I4" s="43" t="str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9" t="str"/>
      <x:c r="B5" s="43" t="str"/>
      <x:c r="C5" s="43" t="str"/>
      <x:c r="D5" s="43" t="str"/>
      <x:c r="E5" s="43" t="str"/>
      <x:c r="F5" s="43" t="str"/>
      <x:c r="G5" s="43" t="str"/>
      <x:c r="H5" s="43" t="str"/>
      <x:c r="I5" s="43" t="str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9" t="str"/>
      <x:c r="B6" s="43" t="str"/>
      <x:c r="C6" s="43" t="str"/>
      <x:c r="D6" s="43" t="str"/>
      <x:c r="E6" s="43" t="str"/>
      <x:c r="F6" s="43" t="str"/>
      <x:c r="G6" s="43" t="str"/>
      <x:c r="H6" s="43" t="str"/>
      <x:c r="I6" s="43" t="str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9" t="str"/>
      <x:c r="B7" s="43" t="str"/>
      <x:c r="C7" s="43" t="str"/>
      <x:c r="D7" s="43" t="str"/>
      <x:c r="E7" s="43" t="str"/>
      <x:c r="F7" s="43" t="str"/>
      <x:c r="G7" s="43" t="str"/>
      <x:c r="H7" s="43" t="str"/>
      <x:c r="I7" s="43" t="str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9" t="str"/>
      <x:c r="B8" s="43" t="str"/>
      <x:c r="C8" s="43" t="str"/>
      <x:c r="D8" s="43" t="str"/>
      <x:c r="E8" s="43" t="str"/>
      <x:c r="F8" s="43" t="str"/>
      <x:c r="G8" s="43" t="str"/>
      <x:c r="H8" s="43" t="str"/>
      <x:c r="I8" s="43" t="str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9" t="str"/>
      <x:c r="B9" s="43" t="str"/>
      <x:c r="C9" s="43" t="str"/>
      <x:c r="D9" s="43" t="str"/>
      <x:c r="E9" s="43" t="str"/>
      <x:c r="F9" s="43" t="str"/>
      <x:c r="G9" s="43" t="str"/>
      <x:c r="H9" s="43" t="str"/>
      <x:c r="I9" s="43" t="str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9" t="str"/>
      <x:c r="B10" s="43" t="str"/>
      <x:c r="C10" s="43" t="str"/>
      <x:c r="D10" s="43" t="str"/>
      <x:c r="E10" s="43" t="str"/>
      <x:c r="F10" s="43" t="str"/>
      <x:c r="G10" s="43" t="str"/>
      <x:c r="H10" s="43" t="str"/>
      <x:c r="I10" s="43" t="str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9" t="str"/>
      <x:c r="B11" s="43" t="str"/>
      <x:c r="C11" s="43" t="str"/>
      <x:c r="D11" s="43" t="str"/>
      <x:c r="E11" s="43" t="str"/>
      <x:c r="F11" s="43" t="str"/>
      <x:c r="G11" s="43" t="str"/>
      <x:c r="H11" s="43" t="str"/>
      <x:c r="I11" s="43" t="str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9" t="str"/>
      <x:c r="B12" s="43" t="str"/>
      <x:c r="C12" s="43" t="str"/>
      <x:c r="D12" s="43" t="str"/>
      <x:c r="E12" s="43" t="str"/>
      <x:c r="F12" s="43" t="str"/>
      <x:c r="G12" s="43" t="str"/>
      <x:c r="H12" s="43" t="str"/>
      <x:c r="I12" s="43" t="str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9" t="str"/>
      <x:c r="B13" s="43" t="str"/>
      <x:c r="C13" s="43" t="str"/>
      <x:c r="D13" s="43" t="str"/>
      <x:c r="E13" s="43" t="str"/>
      <x:c r="F13" s="43" t="str"/>
      <x:c r="G13" s="43" t="str"/>
      <x:c r="H13" s="43" t="str"/>
      <x:c r="I13" s="43" t="str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9" t="str"/>
      <x:c r="B14" s="43" t="str"/>
      <x:c r="C14" s="43" t="str"/>
      <x:c r="D14" s="43" t="str"/>
      <x:c r="E14" s="43" t="str"/>
      <x:c r="F14" s="43" t="str"/>
      <x:c r="G14" s="43" t="str"/>
      <x:c r="H14" s="43" t="str"/>
      <x:c r="I14" s="43" t="str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9" t="str"/>
      <x:c r="B15" s="43" t="str"/>
      <x:c r="C15" s="43" t="str"/>
      <x:c r="D15" s="43" t="str"/>
      <x:c r="E15" s="43" t="str"/>
      <x:c r="F15" s="43" t="str"/>
      <x:c r="G15" s="43" t="str"/>
      <x:c r="H15" s="43" t="str"/>
      <x:c r="I15" s="43" t="str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9" t="str"/>
      <x:c r="B16" s="43" t="str"/>
      <x:c r="C16" s="43" t="str"/>
      <x:c r="D16" s="43" t="str"/>
      <x:c r="E16" s="43" t="str"/>
      <x:c r="F16" s="43" t="str"/>
      <x:c r="G16" s="43" t="str"/>
      <x:c r="H16" s="43" t="str"/>
      <x:c r="I16" s="43" t="str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9" t="str"/>
      <x:c r="B17" s="43" t="str"/>
      <x:c r="C17" s="43" t="str"/>
      <x:c r="D17" s="43" t="str"/>
      <x:c r="E17" s="43" t="str"/>
      <x:c r="F17" s="43" t="str"/>
      <x:c r="G17" s="43" t="str"/>
      <x:c r="H17" s="43" t="str"/>
      <x:c r="I17" s="43" t="str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9" t="str"/>
      <x:c r="B18" s="43" t="str"/>
      <x:c r="C18" s="43" t="str"/>
      <x:c r="D18" s="43" t="str"/>
      <x:c r="E18" s="43" t="str"/>
      <x:c r="F18" s="43" t="str"/>
      <x:c r="G18" s="43" t="str"/>
      <x:c r="H18" s="43" t="str"/>
      <x:c r="I18" s="43" t="str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9" t="str"/>
      <x:c r="B19" s="43" t="str"/>
      <x:c r="C19" s="43" t="str"/>
      <x:c r="D19" s="43" t="str"/>
      <x:c r="E19" s="43" t="str"/>
      <x:c r="F19" s="43" t="str"/>
      <x:c r="G19" s="43" t="str"/>
      <x:c r="H19" s="43" t="str"/>
      <x:c r="I19" s="43" t="str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9" t="str"/>
      <x:c r="B20" s="43" t="str"/>
      <x:c r="C20" s="43" t="str"/>
      <x:c r="D20" s="43" t="str"/>
      <x:c r="E20" s="43" t="str"/>
      <x:c r="F20" s="43" t="str"/>
      <x:c r="G20" s="43" t="str"/>
      <x:c r="H20" s="43" t="str"/>
      <x:c r="I20" s="43" t="str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9" t="str"/>
      <x:c r="B21" s="43" t="str"/>
      <x:c r="C21" s="43" t="str"/>
      <x:c r="D21" s="43" t="str"/>
      <x:c r="E21" s="43" t="str"/>
      <x:c r="F21" s="43" t="str"/>
      <x:c r="G21" s="43" t="str"/>
      <x:c r="H21" s="43" t="str"/>
      <x:c r="I21" s="43" t="str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9" t="str"/>
      <x:c r="B22" s="43" t="str"/>
      <x:c r="C22" s="43" t="str"/>
      <x:c r="D22" s="43" t="str"/>
      <x:c r="E22" s="43" t="str"/>
      <x:c r="F22" s="43" t="str"/>
      <x:c r="G22" s="43" t="str"/>
      <x:c r="H22" s="43" t="str"/>
      <x:c r="I22" s="43" t="str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9" t="str"/>
      <x:c r="B23" s="43" t="str"/>
      <x:c r="C23" s="43" t="str"/>
      <x:c r="D23" s="43" t="str"/>
      <x:c r="E23" s="43" t="str"/>
      <x:c r="F23" s="43" t="str"/>
      <x:c r="G23" s="43" t="str"/>
      <x:c r="H23" s="43" t="str"/>
      <x:c r="I23" s="43" t="str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9" t="str"/>
      <x:c r="B24" s="43" t="str"/>
      <x:c r="C24" s="43" t="str"/>
      <x:c r="D24" s="43" t="str"/>
      <x:c r="E24" s="43" t="str"/>
      <x:c r="F24" s="43" t="str"/>
      <x:c r="G24" s="43" t="str"/>
      <x:c r="H24" s="43" t="str"/>
      <x:c r="I24" s="43" t="str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9" t="str"/>
      <x:c r="B25" s="43" t="str"/>
      <x:c r="C25" s="43" t="str"/>
      <x:c r="D25" s="43" t="str"/>
      <x:c r="E25" s="43" t="str"/>
      <x:c r="F25" s="43" t="str"/>
      <x:c r="G25" s="43" t="str"/>
      <x:c r="H25" s="43" t="str"/>
      <x:c r="I25" s="43" t="str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9" t="str"/>
      <x:c r="B26" s="43" t="str"/>
      <x:c r="C26" s="43" t="str"/>
      <x:c r="D26" s="43" t="str"/>
      <x:c r="E26" s="43" t="str"/>
      <x:c r="F26" s="43" t="str"/>
      <x:c r="G26" s="43" t="str"/>
      <x:c r="H26" s="43" t="str"/>
      <x:c r="I26" s="43" t="str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9" t="str"/>
      <x:c r="B27" s="43" t="str"/>
      <x:c r="C27" s="43" t="str"/>
      <x:c r="D27" s="43" t="str"/>
      <x:c r="E27" s="43" t="str"/>
      <x:c r="F27" s="43" t="str"/>
      <x:c r="G27" s="43" t="str"/>
      <x:c r="H27" s="43" t="str"/>
      <x:c r="I27" s="43" t="str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9" t="str"/>
      <x:c r="B28" s="43" t="str"/>
      <x:c r="C28" s="43" t="str"/>
      <x:c r="D28" s="43" t="str"/>
      <x:c r="E28" s="43" t="str"/>
      <x:c r="F28" s="43" t="str"/>
      <x:c r="G28" s="43" t="str"/>
      <x:c r="H28" s="43" t="str"/>
      <x:c r="I28" s="43" t="str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9" t="str"/>
      <x:c r="B29" s="43" t="str"/>
      <x:c r="C29" s="43" t="str"/>
      <x:c r="D29" s="43" t="str"/>
      <x:c r="E29" s="43" t="str"/>
      <x:c r="F29" s="43" t="str"/>
      <x:c r="G29" s="43" t="str"/>
      <x:c r="H29" s="43" t="str"/>
      <x:c r="I29" s="43" t="str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9" t="str"/>
      <x:c r="B30" s="43" t="str"/>
      <x:c r="C30" s="43" t="str"/>
      <x:c r="D30" s="43" t="str"/>
      <x:c r="E30" s="43" t="str"/>
      <x:c r="F30" s="43" t="str"/>
      <x:c r="G30" s="43" t="str"/>
      <x:c r="H30" s="43" t="str"/>
      <x:c r="I30" s="43" t="str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9" t="str"/>
      <x:c r="B31" s="43" t="str"/>
      <x:c r="C31" s="43" t="str"/>
      <x:c r="D31" s="43" t="str"/>
      <x:c r="E31" s="43" t="str"/>
      <x:c r="F31" s="43" t="str"/>
      <x:c r="G31" s="43" t="str"/>
      <x:c r="H31" s="43" t="str"/>
      <x:c r="I31" s="43" t="str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9" t="str"/>
      <x:c r="B32" s="43" t="str"/>
      <x:c r="C32" s="43" t="str"/>
      <x:c r="D32" s="43" t="str"/>
      <x:c r="E32" s="43" t="str"/>
      <x:c r="F32" s="43" t="str"/>
      <x:c r="G32" s="43" t="str"/>
      <x:c r="H32" s="43" t="str"/>
      <x:c r="I32" s="43" t="str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9" t="str"/>
      <x:c r="B33" s="43" t="str"/>
      <x:c r="C33" s="43" t="str"/>
      <x:c r="D33" s="43" t="str"/>
      <x:c r="E33" s="43" t="str"/>
      <x:c r="F33" s="43" t="str"/>
      <x:c r="G33" s="43" t="str"/>
      <x:c r="H33" s="43" t="str"/>
      <x:c r="I33" s="43" t="str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9" t="str"/>
      <x:c r="B34" s="43" t="str"/>
      <x:c r="C34" s="43" t="str"/>
      <x:c r="D34" s="43" t="str"/>
      <x:c r="E34" s="43" t="str"/>
      <x:c r="F34" s="43" t="str"/>
      <x:c r="G34" s="43" t="str"/>
      <x:c r="H34" s="43" t="str"/>
      <x:c r="I34" s="43" t="str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9" t="str"/>
      <x:c r="B35" s="43" t="str"/>
      <x:c r="C35" s="43" t="str"/>
      <x:c r="D35" s="43" t="str"/>
      <x:c r="E35" s="43" t="str"/>
      <x:c r="F35" s="43" t="str"/>
      <x:c r="G35" s="43" t="str"/>
      <x:c r="H35" s="43" t="str"/>
      <x:c r="I35" s="43" t="str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9" t="str"/>
      <x:c r="B36" s="43" t="str"/>
      <x:c r="C36" s="43" t="str"/>
      <x:c r="D36" s="43" t="str"/>
      <x:c r="E36" s="43" t="str"/>
      <x:c r="F36" s="43" t="str"/>
      <x:c r="G36" s="43" t="str"/>
      <x:c r="H36" s="43" t="str"/>
      <x:c r="I36" s="43" t="str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9" t="str"/>
      <x:c r="B37" s="43" t="str"/>
      <x:c r="C37" s="43" t="str"/>
      <x:c r="D37" s="43" t="str"/>
      <x:c r="E37" s="43" t="str"/>
      <x:c r="F37" s="43" t="str"/>
      <x:c r="G37" s="43" t="str"/>
      <x:c r="H37" s="43" t="str"/>
      <x:c r="I37" s="43" t="str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9" t="str"/>
      <x:c r="B38" s="43" t="str"/>
      <x:c r="C38" s="43" t="str"/>
      <x:c r="D38" s="43" t="str"/>
      <x:c r="E38" s="43" t="str"/>
      <x:c r="F38" s="43" t="str"/>
      <x:c r="G38" s="43" t="str"/>
      <x:c r="H38" s="43" t="str"/>
      <x:c r="I38" s="43" t="str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9" t="str"/>
      <x:c r="B39" s="43" t="str"/>
      <x:c r="C39" s="43" t="str"/>
      <x:c r="D39" s="43" t="str"/>
      <x:c r="E39" s="43" t="str"/>
      <x:c r="F39" s="43" t="str"/>
      <x:c r="G39" s="43" t="str"/>
      <x:c r="H39" s="43" t="str"/>
      <x:c r="I39" s="43" t="str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9" t="str"/>
      <x:c r="B40" s="43" t="str"/>
      <x:c r="C40" s="43" t="str"/>
      <x:c r="D40" s="43" t="str"/>
      <x:c r="E40" s="43" t="str"/>
      <x:c r="F40" s="43" t="str"/>
      <x:c r="G40" s="43" t="str"/>
      <x:c r="H40" s="43" t="str"/>
      <x:c r="I40" s="43" t="str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9" t="str"/>
      <x:c r="B41" s="43" t="str"/>
      <x:c r="C41" s="43" t="str"/>
      <x:c r="D41" s="43" t="str"/>
      <x:c r="E41" s="43" t="str"/>
      <x:c r="F41" s="43" t="str"/>
      <x:c r="G41" s="43" t="str"/>
      <x:c r="H41" s="43" t="str"/>
      <x:c r="I41" s="43" t="str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9" t="str"/>
      <x:c r="B42" s="43" t="str"/>
      <x:c r="C42" s="43" t="str"/>
      <x:c r="D42" s="43" t="str"/>
      <x:c r="E42" s="43" t="str"/>
      <x:c r="F42" s="43" t="str"/>
      <x:c r="G42" s="43" t="str"/>
      <x:c r="H42" s="43" t="str"/>
      <x:c r="I42" s="43" t="str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9" t="str"/>
      <x:c r="B43" s="43" t="str"/>
      <x:c r="C43" s="43" t="str"/>
      <x:c r="D43" s="43" t="str"/>
      <x:c r="E43" s="43" t="str"/>
      <x:c r="F43" s="43" t="str"/>
      <x:c r="G43" s="43" t="str"/>
      <x:c r="H43" s="43" t="str"/>
      <x:c r="I43" s="43" t="str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9" t="str"/>
      <x:c r="B44" s="43" t="str"/>
      <x:c r="C44" s="43" t="str"/>
      <x:c r="D44" s="43" t="str"/>
      <x:c r="E44" s="43" t="str"/>
      <x:c r="F44" s="43" t="str"/>
      <x:c r="G44" s="43" t="str"/>
      <x:c r="H44" s="43" t="str"/>
      <x:c r="I44" s="43" t="str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9" t="str"/>
      <x:c r="B45" s="43" t="str"/>
      <x:c r="C45" s="43" t="str"/>
      <x:c r="D45" s="43" t="str"/>
      <x:c r="E45" s="43" t="str"/>
      <x:c r="F45" s="43" t="str"/>
      <x:c r="G45" s="43" t="str"/>
      <x:c r="H45" s="43" t="str"/>
      <x:c r="I45" s="43" t="str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9" t="str"/>
      <x:c r="B46" s="43" t="str"/>
      <x:c r="C46" s="43" t="str"/>
      <x:c r="D46" s="43" t="str"/>
      <x:c r="E46" s="43" t="str"/>
      <x:c r="F46" s="43" t="str"/>
      <x:c r="G46" s="43" t="str"/>
      <x:c r="H46" s="43" t="str"/>
      <x:c r="I46" s="43" t="str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9" t="str"/>
      <x:c r="B47" s="43" t="str"/>
      <x:c r="C47" s="43" t="str"/>
      <x:c r="D47" s="43" t="str"/>
      <x:c r="E47" s="43" t="str"/>
      <x:c r="F47" s="43" t="str"/>
      <x:c r="G47" s="43" t="str"/>
      <x:c r="H47" s="43" t="str"/>
      <x:c r="I47" s="43" t="str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9" t="str"/>
      <x:c r="B48" s="43" t="str"/>
      <x:c r="C48" s="43" t="str"/>
      <x:c r="D48" s="43" t="str"/>
      <x:c r="E48" s="43" t="str"/>
      <x:c r="F48" s="43" t="str"/>
      <x:c r="G48" s="43" t="str"/>
      <x:c r="H48" s="43" t="str"/>
      <x:c r="I48" s="43" t="str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9" t="str"/>
      <x:c r="B49" s="43" t="str"/>
      <x:c r="C49" s="43" t="str"/>
      <x:c r="D49" s="43" t="str"/>
      <x:c r="E49" s="43" t="str"/>
      <x:c r="F49" s="43" t="str"/>
      <x:c r="G49" s="43" t="str"/>
      <x:c r="H49" s="43" t="str"/>
      <x:c r="I49" s="43" t="str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9" t="str"/>
      <x:c r="B50" s="43" t="str"/>
      <x:c r="C50" s="43" t="str"/>
      <x:c r="D50" s="43" t="str"/>
      <x:c r="E50" s="43" t="str"/>
      <x:c r="F50" s="43" t="str"/>
      <x:c r="G50" s="43" t="str"/>
      <x:c r="H50" s="43" t="str"/>
      <x:c r="I50" s="43" t="str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9" t="str"/>
      <x:c r="B51" s="43" t="str"/>
      <x:c r="C51" s="43" t="str"/>
      <x:c r="D51" s="43" t="str"/>
      <x:c r="E51" s="43" t="str"/>
      <x:c r="F51" s="43" t="str"/>
      <x:c r="G51" s="43" t="str"/>
      <x:c r="H51" s="43" t="str"/>
      <x:c r="I51" s="43" t="str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9" t="str"/>
      <x:c r="B52" s="43" t="str"/>
      <x:c r="C52" s="43" t="str"/>
      <x:c r="D52" s="43" t="str"/>
      <x:c r="E52" s="43" t="str"/>
      <x:c r="F52" s="43" t="str"/>
      <x:c r="G52" s="43" t="str"/>
      <x:c r="H52" s="43" t="str"/>
      <x:c r="I52" s="43" t="str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9" t="str"/>
      <x:c r="B53" s="43" t="str"/>
      <x:c r="C53" s="43" t="str"/>
      <x:c r="D53" s="43" t="str"/>
      <x:c r="E53" s="43" t="str"/>
      <x:c r="F53" s="43" t="str"/>
      <x:c r="G53" s="43" t="str"/>
      <x:c r="H53" s="43" t="str"/>
      <x:c r="I53" s="43" t="str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mergeCells>
    <x:mergeCell ref="A1:I1"/>
  </x:mergeCells>
  <x:dataValidations count="3">
    <x:dataValidation type="list" sqref="B4:B53">
      <x:formula1>"A,B,C,D,E,F,G,H,I,J,K,L,M"</x:formula1>
    </x:dataValidation>
    <x:dataValidation type="list" sqref="C4:C53">
      <x:formula1>"Interview,Field visit,Document,Photo,Video,Data sheet,Financial record,Market evidence,Other"</x:formula1>
    </x:dataValidation>
    <x:dataValidation type="list" sqref="G4:G53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4eb62a5362468d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42" t="str">
        <x:v>Score</x:v>
      </x:c>
      <x:c r="B1" s="42" t="str">
        <x:v>Priority</x:v>
      </x:c>
      <x:c r="C1" s="42" t="str">
        <x:v>Partner Type</x:v>
      </x:c>
      <x:c r="D1" s="42" t="str">
        <x:v>POESI Layer</x:v>
      </x:c>
      <x:c r="E1" s="41"/>
      <x:c r="F1" s="42" t="str">
        <x:v>Source Theme</x:v>
      </x:c>
      <x:c r="G1" s="42" t="str">
        <x:v>Workbook Coverage</x:v>
      </x:c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 t="n">
        <x:v>0</x:v>
      </x:c>
      <x:c r="B2" s="41" t="str">
        <x:v>High</x:v>
      </x:c>
      <x:c r="C2" s="41" t="str">
        <x:v>Place Anchor</x:v>
      </x:c>
      <x:c r="D2" s="41" t="str">
        <x:v>Place</x:v>
      </x:c>
      <x:c r="E2" s="41"/>
      <x:c r="F2" s="41" t="str">
        <x:v>Local Production Economy</x:v>
      </x:c>
      <x:c r="G2" s="41" t="str">
        <x:v>Sections A, B, F, J</x:v>
      </x:c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 t="n">
        <x:v>1</x:v>
      </x:c>
      <x:c r="B3" s="41" t="str">
        <x:v>Medium</x:v>
      </x:c>
      <x:c r="C3" s="41" t="str">
        <x:v>Community Mobiliser</x:v>
      </x:c>
      <x:c r="D3" s="41" t="str">
        <x:v>Owners</x:v>
      </x:c>
      <x:c r="E3" s="41"/>
      <x:c r="F3" s="41" t="str">
        <x:v>6M: Manpower, Machine, Material, Method, Money, Market</x:v>
      </x:c>
      <x:c r="G3" s="41" t="str">
        <x:v>Section E and Pilot_Journey</x:v>
      </x:c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1" t="n">
        <x:v>2</x:v>
      </x:c>
      <x:c r="B4" s="41" t="str">
        <x:v>Low</x:v>
      </x:c>
      <x:c r="C4" s="41" t="str">
        <x:v>Production / Technical Partner</x:v>
      </x:c>
      <x:c r="D4" s="41" t="str">
        <x:v>Enablers</x:v>
      </x:c>
      <x:c r="E4" s="41"/>
      <x:c r="F4" s="41" t="str">
        <x:v>POESI: Place, Owners, Enablers, Solutions, Infrastructure</x:v>
      </x:c>
      <x:c r="G4" s="41" t="str">
        <x:v>Section I and Partner_Profile</x:v>
      </x:c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1" t="n">
        <x:v>3</x:v>
      </x:c>
      <x:c r="B5" s="41" t="str">
        <x:v>Not Applicable</x:v>
      </x:c>
      <x:c r="C5" s="41" t="str">
        <x:v>Market Partner</x:v>
      </x:c>
      <x:c r="D5" s="41" t="str">
        <x:v>Solutions</x:v>
      </x:c>
      <x:c r="E5" s="41"/>
      <x:c r="F5" s="41" t="str">
        <x:v>Nine Platform Components</x:v>
      </x:c>
      <x:c r="G5" s="41" t="str">
        <x:v>Sections G and H</x:v>
      </x:c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1" t="n">
        <x:v>4</x:v>
      </x:c>
      <x:c r="B6" s="41" t="str">
        <x:v>Completed</x:v>
      </x:c>
      <x:c r="C6" s="41" t="str">
        <x:v>Skill &amp; Training Partner</x:v>
      </x:c>
      <x:c r="D6" s="41" t="str">
        <x:v>Infrastructure</x:v>
      </x:c>
      <x:c r="E6" s="41"/>
      <x:c r="F6" s="41" t="str">
        <x:v>Enterprise Creation Pathway</x:v>
      </x:c>
      <x:c r="G6" s="41" t="str">
        <x:v>Sections D and Pilot_Journey</x:v>
      </x:c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1"/>
      <x:c r="B7" s="41"/>
      <x:c r="C7" s="41" t="str">
        <x:v>Finance / Scheme Partner</x:v>
      </x:c>
      <x:c r="D7" s="41" t="str">
        <x:v>Integration</x:v>
      </x:c>
      <x:c r="E7" s="41"/>
      <x:c r="F7" s="41" t="str">
        <x:v>Portfolio Success Markers</x:v>
      </x:c>
      <x:c r="G7" s="41" t="str">
        <x:v>Scoring_Dashboard and Evidence_Log</x:v>
      </x:c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 t="str">
        <x:v>Platform / Knowledge Partner</x:v>
      </x:c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 t="str">
        <x:v>Replication Partner</x:v>
      </x:c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